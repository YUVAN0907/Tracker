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2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Product_Master" sheetId="2" state="visible" r:id="rId2"/>
    <sheet xmlns:r="http://schemas.openxmlformats.org/officeDocument/2006/relationships" name="Vendor_Master" sheetId="3" state="visible" r:id="rId3"/>
    <sheet xmlns:r="http://schemas.openxmlformats.org/officeDocument/2006/relationships" name="Machine_Master" sheetId="4" state="visible" r:id="rId4"/>
    <sheet xmlns:r="http://schemas.openxmlformats.org/officeDocument/2006/relationships" name="Refiller_Master" sheetId="5" state="visible" r:id="rId5"/>
    <sheet xmlns:r="http://schemas.openxmlformats.org/officeDocument/2006/relationships" name="Vendor_Purchase" sheetId="6" state="visible" r:id="rId6"/>
    <sheet xmlns:r="http://schemas.openxmlformats.org/officeDocument/2006/relationships" name="expiry_tracker" sheetId="7" state="visible" r:id="rId7"/>
    <sheet xmlns:r="http://schemas.openxmlformats.org/officeDocument/2006/relationships" name="Machine_Refill_Log" sheetId="8" state="visible" r:id="rId8"/>
    <sheet xmlns:r="http://schemas.openxmlformats.org/officeDocument/2006/relationships" name="Sales_Log" sheetId="9" state="visible" r:id="rId9"/>
    <sheet xmlns:r="http://schemas.openxmlformats.org/officeDocument/2006/relationships" name="Current_Stock" sheetId="10" state="visible" r:id="rId10"/>
  </sheets>
  <definedNames>
    <definedName name="_xlnm._FilterDatabase" localSheetId="2" hidden="1">'Vendor_Master'!$A$2:$A$119</definedName>
  </definedNames>
  <calcPr calcId="191028" fullCalcOnLoad="1"/>
  <pivotCaches>
    <pivotCache xmlns:r="http://schemas.openxmlformats.org/officeDocument/2006/relationships" cacheId="0" r:id="rId11"/>
  </pivotCaches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 Black"/>
      <family val="2"/>
      <color theme="1"/>
      <sz val="11"/>
    </font>
    <font>
      <name val="Calibri"/>
      <b val="1"/>
      <color rgb="FF000000"/>
      <sz val="11"/>
      <scheme val="minor"/>
    </font>
    <font>
      <name val="Aptos"/>
      <charset val="1"/>
      <family val="2"/>
      <color theme="1"/>
      <sz val="11"/>
    </font>
    <font>
      <name val="Boucherie Block"/>
      <b val="1"/>
      <color theme="1"/>
      <sz val="24"/>
    </font>
    <font>
      <name val="Times New Roman"/>
      <b val="1"/>
      <color theme="1"/>
      <sz val="12"/>
    </font>
    <font>
      <name val="Times New Roman"/>
      <b val="1"/>
      <color theme="1"/>
      <sz val="11"/>
    </font>
    <font>
      <name val="Aptos Narrow"/>
      <charset val="1"/>
      <color rgb="FF242424"/>
      <sz val="11"/>
    </font>
    <font>
      <name val="Calibri"/>
      <family val="2"/>
      <b val="1"/>
      <color rgb="FF000000"/>
      <sz val="11"/>
    </font>
    <font>
      <name val="Public Sans"/>
      <charset val="1"/>
      <color rgb="FF222222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right"/>
    </xf>
    <xf numFmtId="0" fontId="10" fillId="0" borderId="1" pivotButton="0" quotePrefix="0" xfId="0"/>
    <xf numFmtId="0" fontId="0" fillId="0" borderId="2" pivotButton="0" quotePrefix="0" xfId="0"/>
    <xf numFmtId="9" fontId="0" fillId="0" borderId="0" pivotButton="0" quotePrefix="0" xfId="0"/>
    <xf numFmtId="0" fontId="0" fillId="0" borderId="0" pivotButton="1" quotePrefix="0" xfId="0"/>
    <xf numFmtId="0" fontId="0" fillId="5" borderId="0" pivotButton="0" quotePrefix="0" xfId="0"/>
    <xf numFmtId="0" fontId="0" fillId="0" borderId="4" applyAlignment="1" pivotButton="0" quotePrefix="0" xfId="0">
      <alignment horizontal="center" vertical="center"/>
    </xf>
    <xf numFmtId="0" fontId="4" fillId="0" borderId="1" pivotButton="0" quotePrefix="0" xfId="0"/>
    <xf numFmtId="9" fontId="0" fillId="0" borderId="1" pivotButton="0" quotePrefix="0" xfId="0"/>
    <xf numFmtId="0" fontId="0" fillId="0" borderId="4" pivotButton="0" quotePrefix="0" xfId="0"/>
    <xf numFmtId="0" fontId="0" fillId="6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6" borderId="1" pivotButton="0" quotePrefix="0" xfId="0"/>
    <xf numFmtId="0" fontId="0" fillId="6" borderId="6" pivotButton="0" quotePrefix="0" xfId="0"/>
    <xf numFmtId="0" fontId="0" fillId="6" borderId="6" pivotButton="0" quotePrefix="0" xfId="0"/>
    <xf numFmtId="0" fontId="0" fillId="6" borderId="0" pivotButton="0" quotePrefix="0" xfId="0"/>
    <xf numFmtId="0" fontId="0" fillId="0" borderId="0" applyAlignment="1" pivotButton="0" quotePrefix="0" xfId="0">
      <alignment wrapText="1"/>
    </xf>
    <xf numFmtId="1" fontId="11" fillId="0" borderId="0" pivotButton="0" quotePrefix="0" xfId="0"/>
    <xf numFmtId="0" fontId="0" fillId="6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8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pivotCacheDefinition" Target="/xl/pivotCache/pivotCacheDefinition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Sales_Log!$D$1</f>
              <strCache>
                <ptCount val="1"/>
                <pt idx="0">
                  <v xml:space="preserve">Qty Purchased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#SPILL!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Sales_Log!$D$2:$D$5</f>
              <numCache>
                <formatCode>General</formatCode>
                <ptCount val="4"/>
                <pt idx="0">
                  <v>10</v>
                </pt>
                <pt idx="1">
                  <v>10</v>
                </pt>
                <pt idx="2">
                  <v>10</v>
                </pt>
                <pt idx="3">
                  <v>10</v>
                </pt>
              </numCache>
            </numRef>
          </val>
        </ser>
        <ser>
          <idx val="1"/>
          <order val="1"/>
          <tx>
            <strRef>
              <f>Sales_Log!$E$1</f>
              <strCache>
                <ptCount val="1"/>
                <pt idx="0">
                  <v xml:space="preserve">Qty Sold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#SPILL!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Sales_Log!$E$2:$E$5</f>
              <numCache>
                <formatCode>General</formatCode>
                <ptCount val="4"/>
                <pt idx="0">
                  <v>5</v>
                </pt>
                <pt idx="1">
                  <v>10</v>
                </pt>
                <pt idx="2">
                  <v>6</v>
                </pt>
                <pt idx="3">
                  <v>2</v>
                </pt>
              </numCache>
            </numRef>
          </val>
        </ser>
        <ser>
          <idx val="2"/>
          <order val="2"/>
          <tx>
            <strRef>
              <f>Sales_Log!$F$1</f>
              <strCache>
                <ptCount val="1"/>
                <pt idx="0">
                  <v>Selling_Price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#SPILL!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Sales_Log!$F$2:$F$5</f>
              <numCache>
                <formatCode>General</formatCode>
                <ptCount val="4"/>
                <pt idx="0">
                  <v>40</v>
                </pt>
                <pt idx="1">
                  <v>20</v>
                </pt>
                <pt idx="2">
                  <v>30</v>
                </pt>
                <pt idx="3">
                  <v>110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#SPILL!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Sales_Log!$C$1:$C$5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22"/>
        <overlap val="-27"/>
        <axId val="318854152"/>
        <axId val="318856200"/>
      </barChart>
      <catAx>
        <axId val="31885415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18856200"/>
        <crosses val="autoZero"/>
        <auto val="1"/>
        <lblAlgn val="ctr"/>
        <lblOffset val="100"/>
        <noMultiLvlLbl val="0"/>
      </catAx>
      <valAx>
        <axId val="318856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1885415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381000</colOff>
      <row>1</row>
      <rowOff>133350</rowOff>
    </from>
    <to>
      <col>18</col>
      <colOff>76200</colOff>
      <row>16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041.95382361111" createdVersion="8" refreshedVersion="8" minRefreshableVersion="3" recordCount="143" r:id="rId1">
  <cacheSource type="worksheet">
    <worksheetSource ref="A1:H142" sheet="Product_Master"/>
  </cacheSource>
  <cacheFields count="7">
    <cacheField name="CATEGORY" uniqueList="1" numFmtId="0" sqlType="0" hierarchy="0" level="0" databaseField="1">
      <sharedItems count="5" containsBlank="1">
        <s v="CHIPS "/>
        <m/>
        <s v="BEVERAGE"/>
        <s v="BISCUITS"/>
        <s v="SWEETS"/>
      </sharedItems>
    </cacheField>
    <cacheField name="PRODUCT_ID" uniqueList="1" numFmtId="0" sqlType="0" hierarchy="0" level="0" databaseField="1">
      <sharedItems count="0"/>
    </cacheField>
    <cacheField name="PRODUCT_NAME" uniqueList="1" numFmtId="0" sqlType="0" hierarchy="0" level="0" databaseField="1">
      <sharedItems count="143">
        <s v="LAYS SALT WITH PEPPER WAFER CHIPS"/>
        <s v="LAYS CLASSIC SALT"/>
        <s v="LAYS MAGIC MASALA"/>
        <s v="LAYS AMERICAN STYLE CREAM ONION"/>
        <s v="LAYS SPANISH TOMATO TANGY"/>
        <s v="LAYS HOT N SWEET CHILLI"/>
        <s v="LAYS WAFER RED CHILLI"/>
        <s v="LAYS SIZZLIN HOT"/>
        <s v="TOO YUMM SALTED"/>
        <s v="TOO YUMM KARARE CHILLI ACHARI"/>
        <s v="TOO YUMM CHILI CHATAKA"/>
        <s v="TOO YUMM WAFER SPICY CHILLI"/>
        <s v="TOO YUMM POTATO SPANISH TOMATO"/>
        <s v="TOO YUMM AMERICAN STYLE CREAM ONION"/>
        <s v="TOO YUMM BHOOT KARARE"/>
        <s v="TOO YUMM KARARE NOODLES MASALA"/>
        <s v="TOO YUMM KARARE TWISTIES"/>
        <s v="TOO YUMM KARARE MUNCH MASALA"/>
        <s v="TOO YUMM KASHMIRI CHILLI"/>
        <s v="TOO YUMM INDIAN MASALA"/>
        <s v="TOO YUMM NAGIN"/>
        <s v="TOO YUMM SOUR CREAM"/>
        <s v="KURKURE SCHEZWAN CHUTNEY"/>
        <s v="KURKURE PUFFCORN"/>
        <s v="KURKURE CHILLI CHITAKA"/>
        <s v="KURKURE GREEN CHILLI"/>
        <s v="KURKURE NAUGHTY TOMATO"/>
        <s v="KURKURE GREEN CHUTNEY"/>
        <s v="KURKURE MUNCH MASALA"/>
        <s v="KETTLE STUDIO SWEET CHILLI"/>
        <s v="KETTLE STUDIO MATURE CHEDDAR"/>
        <s v="BINGO NACHOS CHEESE"/>
        <s v="BINGO ORGINAL STYLE PINK SALT"/>
        <s v="BINGO MM MASALA"/>
        <s v="BINGO MAD ANGLES PERI PERI"/>
        <s v="BINGO MASTI CHILLI"/>
        <s v="BINGO TEDHE MEDHE"/>
        <s v="BINGO NACHOS CHILLI"/>
        <s v="BINGO MAD ANGLES TOMATO"/>
        <s v="BINGO MAD ANGLE MASALA ACHARI"/>
        <s v="BINGO CREAM &amp; ONION"/>
        <s v="BINGO TOMATO POTATO CHIPS"/>
        <s v="BINGO CLASSIC SALT"/>
        <s v="PVR BUTTER POPCORN"/>
        <s v="DORITOD NACHOS SWEET CHILLI"/>
        <s v="DORITOS NACHOS CHEESE"/>
        <s v="RUBY PISTA MILK"/>
        <s v="RUBY BADAM MILK"/>
        <s v="RUBY ROSE MILK"/>
        <s v="CAVINS BUTTERSCOTCH"/>
        <s v="CAVINS CHOCOLATE"/>
        <s v="CAVINS PREMIUM MALT MILKSHAKE"/>
        <s v="CAVINS ORANGE"/>
        <s v="CAVINS BELGIAN CHOCOLATE"/>
        <s v="CAVINS COLD COFFEE"/>
        <s v="CAVINS STRAWBERRY"/>
        <s v="CAVINS VANILLA"/>
        <s v="HERSHEY’S BUTTERSCOTCH MILKSHAKE"/>
        <s v="HERSHEY’S VANILLA MILKSHAKE"/>
        <s v="HERSHEY'S COOKIES AND CREAM"/>
        <s v="HERSHEY'S ALMOND FLAVOR"/>
        <s v="HERSHEY'S CHOCOLATE FLAVOR"/>
        <s v="SOFIT SOYA CHOCOLATE FLAVOR"/>
        <s v="HERSHEY'S STRAWBERRY FLAVOR"/>
        <s v="HERSHEY'S COFFEE MOCHA FLAVOR"/>
        <s v="CREAM BELL ROSE MILK"/>
        <s v="CREAM BELL BADAM MILKSHAKE"/>
        <s v="CREAM BELL VANNILA"/>
        <s v="CREAM BELL COFFEE"/>
        <s v="CREAM BELL CHOCO"/>
        <s v="CREAM BELL BUTTER SCOTCH"/>
        <s v="DIET COKE"/>
        <s v="COKE TIN ZERO SUGAR"/>
        <s v="COKE TIN"/>
        <s v="COKE"/>
        <s v="MOUNTAIN DEW"/>
        <s v="THUMBS UP TIN"/>
        <s v="THUMBS"/>
        <s v="PEPSI TIN"/>
        <s v="PEPSI ZERO SUGAR TIN"/>
        <s v="MONSTER ZERO SUGAR ENERGY DRINK TIN"/>
        <s v="MONSTER ENERGY DRINK TIN"/>
        <s v="MAAZA"/>
        <s v="MAAZA PET BOTTLE"/>
        <s v="OCEAN APPLE"/>
        <s v="OCEAN DRINK GREEN APPLE"/>
        <s v="OCEAN DRINK PEACH &amp; PASSION"/>
        <s v="OCEAN DRINK MANGO &amp; PASSION"/>
        <s v="OCEAN PINK GUVA"/>
        <s v="MM PULPY ORANGE"/>
        <s v="FANTA"/>
        <s v="TROPICANA MIXED FRUIT"/>
        <s v="TROPICANA APPLE"/>
        <s v="TROPICANA SLICE"/>
        <s v="TROPICANA ORANGE"/>
        <s v="TROPICANA POMEGRANATE"/>
        <s v="TROPICANA GUVA"/>
        <s v="TROPICANA LITCHI DELIGHT"/>
        <s v="MIRINDA TIN"/>
        <s v="LIPTON ICE TEA"/>
        <s v="7UP TIN"/>
        <s v="SPRITE TIN"/>
        <s v="SPRITE"/>
        <s v="PAPER BOAT SWING GUVA"/>
        <s v="PAPER BOAT NATA DE COCO LYCHEE"/>
        <s v="PAPER BOAT NATA DE COCO ORANGE"/>
        <s v="PAPER BOAT SWING ORANGE"/>
        <s v="PAPER BOAT SWING MANGO"/>
        <s v="PAPER BOAT APPLE"/>
        <s v="PAPER BOAT ORANGE"/>
        <s v="PAPER BOAT CHILLI GUVA"/>
        <s v="PAPER BOAT MIXED FRUIT"/>
        <s v="PAPER BOAT MANGO"/>
        <s v="PAPER BOAT LYCHEE"/>
        <s v="REAL JUICE MIXED FRUIT"/>
        <s v="PARLE SMOODH LAASI"/>
        <s v="PARLE SMOODH TOFFEE CARAMEL"/>
        <s v="PARLE SMOODH CHOCOLATE"/>
        <s v="PARLE FROOTI"/>
        <s v="PARLE HIDE AND SEEK"/>
        <s v="BRITANNIA LITTLE HEART"/>
        <s v="NABATI WAFER PINK LAVA"/>
        <s v="NABATI WAFER RICHESSE"/>
        <s v="ELITE CHOCO COOKIES"/>
        <s v="DARK FANTASY BOURBON"/>
        <s v="MOM'S MAGIC CASHEW"/>
        <s v="BRITANNIA JIM JAM"/>
        <s v="DARK FANTACY CHOCOLATE"/>
        <s v="DARK FANTACY VANILLA"/>
        <s v="BRITANNIA TREAT CROISSANT MIXED FRUIT"/>
        <s v="BRITANNIA TRAT CROISSANT VANILLA"/>
        <s v="BRIRANNIA TREA CROISSANT CHOCO CREME"/>
        <s v="BAULI MOONFILLS STRAWBERRY"/>
        <s v="ELITE BROWINE"/>
        <s v="BAULI MOONFILLS CHOCO"/>
        <s v="BRITANNIA TREAT TRIPLE CHOCOLATE"/>
        <s v="BAULI MOONFILL VANILLA"/>
        <s v="RAAJALI FILLED MUFFIN BANANA"/>
        <s v="RAAJALI FILLED MUFFIN STRAWBERRY"/>
        <s v="RAAJALI FILLED MUFFIN VANILLA"/>
        <s v="GAIA SPORT GRAOLA BAR CHOCOLATE"/>
        <s v="DAIRY MILK FRUIT AND NUT"/>
        <s v="KITKAT"/>
      </sharedItems>
    </cacheField>
    <cacheField name="MRP" uniqueList="1" numFmtId="0" sqlType="0" hierarchy="0" level="0" databaseField="1">
      <sharedItems count="0" containsBlank="1" containsInteger="1" containsNumber="1" containsString="0" minValue="19" maxValue="125"/>
    </cacheField>
    <cacheField name="PO" uniqueList="1" numFmtId="0" sqlType="0" hierarchy="0" level="0" databaseField="1">
      <sharedItems count="0" containsBlank="1" containsMixedTypes="1" containsNumber="1" minValue="13.3" maxValue="75"/>
    </cacheField>
    <cacheField name="QUANTITY" uniqueList="1" numFmtId="0" sqlType="0" hierarchy="0" level="0" databaseField="1">
      <sharedItems count="0" containsBlank="1" containsInteger="1" containsMixedTypes="1" containsNumber="1" minValue="1" maxValue="120"/>
    </cacheField>
    <cacheField name="GST" uniqueList="1" numFmtId="9" sqlType="0" hierarchy="0" level="0" databaseField="1">
      <sharedItems count="0" containsNumber="1" containsSemiMixedTypes="0" containsString="0" minValue="0.05" maxValue="0.4"/>
    </cacheField>
  </cacheFields>
</pivotCacheDefinition>
</file>

<file path=xl/pivotCache/pivotCacheRecords1.xml><?xml version="1.0" encoding="utf-8"?>
<pivotCacheRecords xmlns="http://schemas.openxmlformats.org/spreadsheetml/2006/main" count="143">
  <r>
    <x v="0"/>
    <s v="P001"/>
    <x v="0"/>
    <n v="20"/>
    <n v="18.3"/>
    <n v="90"/>
    <n v="0.05"/>
  </r>
  <r>
    <x v="1"/>
    <s v="P002"/>
    <x v="1"/>
    <n v="20"/>
    <n v="18.3"/>
    <n v="90"/>
    <n v="0.05"/>
  </r>
  <r>
    <x v="1"/>
    <s v="P003"/>
    <x v="2"/>
    <n v="20"/>
    <n v="18.3"/>
    <n v="90"/>
    <n v="0.05"/>
  </r>
  <r>
    <x v="1"/>
    <s v="P004"/>
    <x v="3"/>
    <n v="20"/>
    <n v="18.3"/>
    <n v="90"/>
    <n v="0.05"/>
  </r>
  <r>
    <x v="1"/>
    <s v="P005"/>
    <x v="4"/>
    <n v="20"/>
    <n v="18.3"/>
    <n v="90"/>
    <n v="0.05"/>
  </r>
  <r>
    <x v="1"/>
    <s v="P006"/>
    <x v="5"/>
    <n v="20"/>
    <n v="18.3"/>
    <n v="90"/>
    <n v="0.05"/>
  </r>
  <r>
    <x v="1"/>
    <s v="P007"/>
    <x v="6"/>
    <n v="20"/>
    <n v="18.3"/>
    <n v="90"/>
    <n v="0.05"/>
  </r>
  <r>
    <x v="1"/>
    <s v="P008"/>
    <x v="7"/>
    <n v="20"/>
    <n v="18.3"/>
    <m/>
    <n v="0.05"/>
  </r>
  <r>
    <x v="1"/>
    <s v="P009"/>
    <x v="8"/>
    <n v="20"/>
    <n v="14"/>
    <n v="70"/>
    <n v="0.05"/>
  </r>
  <r>
    <x v="1"/>
    <s v="P010"/>
    <x v="9"/>
    <n v="20"/>
    <n v="14"/>
    <n v="70"/>
    <n v="0.05"/>
  </r>
  <r>
    <x v="1"/>
    <s v="P011"/>
    <x v="10"/>
    <n v="20"/>
    <n v="14"/>
    <n v="70"/>
    <n v="0.05"/>
  </r>
  <r>
    <x v="1"/>
    <s v="P012"/>
    <x v="11"/>
    <n v="20"/>
    <n v="14"/>
    <n v="70"/>
    <n v="0.05"/>
  </r>
  <r>
    <x v="1"/>
    <s v="P013"/>
    <x v="12"/>
    <n v="20"/>
    <n v="14"/>
    <n v="70"/>
    <n v="0.05"/>
  </r>
  <r>
    <x v="1"/>
    <s v="P014"/>
    <x v="13"/>
    <n v="20"/>
    <n v="14"/>
    <n v="70"/>
    <n v="0.05"/>
  </r>
  <r>
    <x v="1"/>
    <s v="P015"/>
    <x v="14"/>
    <n v="20"/>
    <n v="14"/>
    <n v="70"/>
    <n v="0.05"/>
  </r>
  <r>
    <x v="1"/>
    <s v="P016"/>
    <x v="15"/>
    <n v="20"/>
    <n v="14"/>
    <n v="70"/>
    <n v="0.05"/>
  </r>
  <r>
    <x v="1"/>
    <s v="P017"/>
    <x v="16"/>
    <n v="20"/>
    <n v="14"/>
    <n v="70"/>
    <n v="0.05"/>
  </r>
  <r>
    <x v="1"/>
    <s v="P018"/>
    <x v="17"/>
    <n v="20"/>
    <n v="14"/>
    <n v="70"/>
    <n v="0.05"/>
  </r>
  <r>
    <x v="1"/>
    <s v="P019"/>
    <x v="18"/>
    <n v="20"/>
    <n v="14"/>
    <n v="70"/>
    <n v="0.05"/>
  </r>
  <r>
    <x v="1"/>
    <s v="P020"/>
    <x v="19"/>
    <n v="20"/>
    <n v="14"/>
    <n v="70"/>
    <n v="0.05"/>
  </r>
  <r>
    <x v="1"/>
    <s v="P021"/>
    <x v="20"/>
    <n v="20"/>
    <n v="14"/>
    <n v="70"/>
    <n v="0.05"/>
  </r>
  <r>
    <x v="1"/>
    <s v="P022"/>
    <x v="21"/>
    <n v="20"/>
    <n v="14"/>
    <n v="70"/>
    <n v="0.05"/>
  </r>
  <r>
    <x v="1"/>
    <s v="P023"/>
    <x v="22"/>
    <n v="20"/>
    <n v="16.35"/>
    <n v="56"/>
    <n v="0.05"/>
  </r>
  <r>
    <x v="1"/>
    <s v="P024"/>
    <x v="23"/>
    <n v="20"/>
    <n v="16.35"/>
    <n v="56"/>
    <n v="0.05"/>
  </r>
  <r>
    <x v="1"/>
    <s v="P025"/>
    <x v="24"/>
    <n v="20"/>
    <n v="16.35"/>
    <n v="56"/>
    <n v="0.05"/>
  </r>
  <r>
    <x v="1"/>
    <s v="P026"/>
    <x v="25"/>
    <n v="20"/>
    <n v="16.35"/>
    <n v="56"/>
    <n v="0.05"/>
  </r>
  <r>
    <x v="1"/>
    <s v="P027"/>
    <x v="26"/>
    <n v="20"/>
    <n v="16.35"/>
    <n v="56"/>
    <n v="0.05"/>
  </r>
  <r>
    <x v="1"/>
    <s v="P028"/>
    <x v="27"/>
    <n v="20"/>
    <n v="16.35"/>
    <n v="56"/>
    <n v="0.05"/>
  </r>
  <r>
    <x v="1"/>
    <s v="P029"/>
    <x v="28"/>
    <n v="20"/>
    <n v="16.35"/>
    <n v="56"/>
    <n v="0.05"/>
  </r>
  <r>
    <x v="1"/>
    <s v="P030"/>
    <x v="29"/>
    <n v="49"/>
    <n v="40.57"/>
    <n v="56"/>
    <n v="0.05"/>
  </r>
  <r>
    <x v="1"/>
    <s v="P031"/>
    <x v="30"/>
    <n v="49"/>
    <n v="40.57"/>
    <n v="56"/>
    <n v="0.05"/>
  </r>
  <r>
    <x v="1"/>
    <s v="P032"/>
    <x v="31"/>
    <n v="20"/>
    <n v="15"/>
    <n v="60"/>
    <n v="0.05"/>
  </r>
  <r>
    <x v="1"/>
    <s v="P033"/>
    <x v="32"/>
    <n v="20"/>
    <n v="15"/>
    <n v="60"/>
    <n v="0.05"/>
  </r>
  <r>
    <x v="1"/>
    <s v="P034"/>
    <x v="33"/>
    <n v="20"/>
    <n v="15"/>
    <n v="60"/>
    <n v="0.05"/>
  </r>
  <r>
    <x v="1"/>
    <s v="P035"/>
    <x v="34"/>
    <n v="20"/>
    <n v="15"/>
    <n v="56"/>
    <n v="0.05"/>
  </r>
  <r>
    <x v="1"/>
    <s v="P036"/>
    <x v="35"/>
    <n v="20"/>
    <n v="15"/>
    <n v="56"/>
    <n v="0.05"/>
  </r>
  <r>
    <x v="1"/>
    <s v="P037"/>
    <x v="36"/>
    <n v="30"/>
    <n v="15"/>
    <n v="56"/>
    <n v="0.05"/>
  </r>
  <r>
    <x v="1"/>
    <s v="P038"/>
    <x v="37"/>
    <n v="20"/>
    <n v="15"/>
    <n v="56"/>
    <n v="0.05"/>
  </r>
  <r>
    <x v="1"/>
    <s v="P039"/>
    <x v="38"/>
    <n v="20"/>
    <n v="15"/>
    <n v="56"/>
    <n v="0.05"/>
  </r>
  <r>
    <x v="1"/>
    <s v="P040"/>
    <x v="39"/>
    <n v="20"/>
    <n v="15"/>
    <n v="56"/>
    <n v="0.05"/>
  </r>
  <r>
    <x v="1"/>
    <s v="P041"/>
    <x v="40"/>
    <n v="20"/>
    <n v="15"/>
    <n v="56"/>
    <n v="0.05"/>
  </r>
  <r>
    <x v="1"/>
    <s v="P042"/>
    <x v="41"/>
    <n v="20"/>
    <n v="15"/>
    <n v="56"/>
    <n v="0.05"/>
  </r>
  <r>
    <x v="1"/>
    <s v="P043"/>
    <x v="42"/>
    <n v="20"/>
    <n v="15"/>
    <n v="56"/>
    <n v="0.05"/>
  </r>
  <r>
    <x v="1"/>
    <s v="P044"/>
    <x v="43"/>
    <n v="25"/>
    <n v="15"/>
    <n v="56"/>
    <n v="0.05"/>
  </r>
  <r>
    <x v="1"/>
    <s v="P045"/>
    <x v="44"/>
    <n v="20"/>
    <n v="16.35"/>
    <n v="120"/>
    <n v="0.05"/>
  </r>
  <r>
    <x v="1"/>
    <s v="P046"/>
    <x v="45"/>
    <n v="20"/>
    <n v="16.35"/>
    <n v="120"/>
    <n v="0.05"/>
  </r>
  <r>
    <x v="2"/>
    <s v="P047"/>
    <x v="46"/>
    <n v="35"/>
    <n v="22.75"/>
    <n v="56"/>
    <n v="0.05"/>
  </r>
  <r>
    <x v="1"/>
    <s v="P048"/>
    <x v="47"/>
    <n v="35"/>
    <n v="22.75"/>
    <n v="56"/>
    <n v="0.05"/>
  </r>
  <r>
    <x v="1"/>
    <s v="P049"/>
    <x v="48"/>
    <n v="35"/>
    <n v="22.75"/>
    <n v="56"/>
    <n v="0.05"/>
  </r>
  <r>
    <x v="1"/>
    <s v="P050"/>
    <x v="49"/>
    <n v="37"/>
    <n v="28.5"/>
    <n v="30"/>
    <n v="0.05"/>
  </r>
  <r>
    <x v="1"/>
    <s v="P051"/>
    <x v="50"/>
    <n v="37"/>
    <n v="28.5"/>
    <n v="30"/>
    <n v="0.05"/>
  </r>
  <r>
    <x v="1"/>
    <s v="P052"/>
    <x v="51"/>
    <n v="40"/>
    <n v="28.5"/>
    <n v="30"/>
    <n v="0.05"/>
  </r>
  <r>
    <x v="1"/>
    <s v="P053"/>
    <x v="52"/>
    <n v="40"/>
    <n v="28.5"/>
    <n v="30"/>
    <n v="0.05"/>
  </r>
  <r>
    <x v="1"/>
    <s v="P054"/>
    <x v="53"/>
    <n v="37"/>
    <n v="28.5"/>
    <n v="30"/>
    <n v="0.05"/>
  </r>
  <r>
    <x v="1"/>
    <s v="P055"/>
    <x v="54"/>
    <n v="40"/>
    <n v="28.5"/>
    <n v="30"/>
    <n v="0.05"/>
  </r>
  <r>
    <x v="1"/>
    <s v="P056"/>
    <x v="55"/>
    <n v="37"/>
    <n v="28.5"/>
    <n v="30"/>
    <n v="0.05"/>
  </r>
  <r>
    <x v="1"/>
    <s v="P057"/>
    <x v="56"/>
    <n v="37"/>
    <n v="28.5"/>
    <n v="30"/>
    <n v="0.05"/>
  </r>
  <r>
    <x v="1"/>
    <s v="P058"/>
    <x v="57"/>
    <n v="37"/>
    <n v="28.9"/>
    <n v="24"/>
    <n v="0.05"/>
  </r>
  <r>
    <x v="1"/>
    <s v="P059"/>
    <x v="58"/>
    <n v="37"/>
    <n v="28.9"/>
    <n v="24"/>
    <n v="0.05"/>
  </r>
  <r>
    <x v="1"/>
    <s v="P060"/>
    <x v="59"/>
    <n v="37"/>
    <n v="28.9"/>
    <n v="24"/>
    <n v="0.05"/>
  </r>
  <r>
    <x v="1"/>
    <s v="P061"/>
    <x v="60"/>
    <n v="37"/>
    <n v="28.9"/>
    <n v="24"/>
    <n v="0.05"/>
  </r>
  <r>
    <x v="1"/>
    <s v="P062"/>
    <x v="61"/>
    <n v="40"/>
    <n v="28.9"/>
    <n v="24"/>
    <n v="0.05"/>
  </r>
  <r>
    <x v="1"/>
    <s v="P063"/>
    <x v="62"/>
    <n v="40"/>
    <n v="28.9"/>
    <n v="24"/>
    <n v="0.05"/>
  </r>
  <r>
    <x v="1"/>
    <s v="P064"/>
    <x v="63"/>
    <n v="40"/>
    <n v="28.9"/>
    <n v="24"/>
    <n v="0.05"/>
  </r>
  <r>
    <x v="1"/>
    <s v="P065"/>
    <x v="64"/>
    <n v="37"/>
    <n v="28.9"/>
    <n v="24"/>
    <n v="0.05"/>
  </r>
  <r>
    <x v="1"/>
    <s v="P066"/>
    <x v="65"/>
    <n v="30"/>
    <n v="22.9"/>
    <n v="24"/>
    <n v="0.05"/>
  </r>
  <r>
    <x v="1"/>
    <s v="P067"/>
    <x v="66"/>
    <n v="35"/>
    <n v="22.29"/>
    <n v="24"/>
    <n v="0.05"/>
  </r>
  <r>
    <x v="1"/>
    <s v="P068"/>
    <x v="67"/>
    <n v="30"/>
    <n v="22.29"/>
    <n v="24"/>
    <n v="0.05"/>
  </r>
  <r>
    <x v="1"/>
    <s v="P069"/>
    <x v="68"/>
    <n v="35"/>
    <n v="21.67"/>
    <n v="24"/>
    <n v="0.05"/>
  </r>
  <r>
    <x v="1"/>
    <s v="P070"/>
    <x v="69"/>
    <n v="35"/>
    <n v="28"/>
    <n v="24"/>
    <n v="0.05"/>
  </r>
  <r>
    <x v="1"/>
    <s v="P071"/>
    <x v="70"/>
    <n v="35"/>
    <n v="26"/>
    <n v="1"/>
    <n v="0.05"/>
  </r>
  <r>
    <x v="1"/>
    <s v="P072"/>
    <x v="71"/>
    <n v="40"/>
    <n v="36.5"/>
    <n v="24"/>
    <n v="0.4"/>
  </r>
  <r>
    <x v="1"/>
    <s v="P073"/>
    <x v="72"/>
    <n v="70"/>
    <n v="36.5"/>
    <n v="24"/>
    <n v="0.4"/>
  </r>
  <r>
    <x v="1"/>
    <s v="P074"/>
    <x v="73"/>
    <n v="70"/>
    <n v="13.3"/>
    <n v="24"/>
    <n v="0.4"/>
  </r>
  <r>
    <x v="1"/>
    <s v="P075"/>
    <x v="74"/>
    <n v="20"/>
    <n v="14.71"/>
    <n v="28"/>
    <n v="0.4"/>
  </r>
  <r>
    <x v="1"/>
    <s v="P076"/>
    <x v="75"/>
    <n v="70"/>
    <m/>
    <n v="24"/>
    <n v="0.4"/>
  </r>
  <r>
    <x v="1"/>
    <s v="P077"/>
    <x v="76"/>
    <n v="70"/>
    <m/>
    <n v="24"/>
    <n v="0.4"/>
  </r>
  <r>
    <x v="1"/>
    <s v="P078"/>
    <x v="77"/>
    <n v="20"/>
    <m/>
    <n v="24"/>
    <n v="0.4"/>
  </r>
  <r>
    <x v="1"/>
    <s v="P079"/>
    <x v="78"/>
    <n v="70"/>
    <n v="36.25"/>
    <n v="28"/>
    <n v="0.4"/>
  </r>
  <r>
    <x v="1"/>
    <s v="P080"/>
    <x v="79"/>
    <n v="70"/>
    <n v="36.25"/>
    <n v="28"/>
    <n v="0.4"/>
  </r>
  <r>
    <x v="1"/>
    <s v="P081"/>
    <x v="80"/>
    <n v="125"/>
    <n v="75"/>
    <n v="24"/>
    <n v="0.4"/>
  </r>
  <r>
    <x v="1"/>
    <s v="P082"/>
    <x v="81"/>
    <n v="125"/>
    <n v="75"/>
    <n v="24"/>
    <n v="0.4"/>
  </r>
  <r>
    <x v="1"/>
    <s v="P083"/>
    <x v="82"/>
    <n v="20"/>
    <n v="16"/>
    <n v="30"/>
    <n v="0.05"/>
  </r>
  <r>
    <x v="1"/>
    <s v="P084"/>
    <x v="83"/>
    <n v="19"/>
    <n v="17.5"/>
    <n v="28"/>
    <n v="0.05"/>
  </r>
  <r>
    <x v="1"/>
    <s v="P085"/>
    <x v="84"/>
    <n v="38"/>
    <n v="29.5"/>
    <n v="36"/>
    <n v="0.05"/>
  </r>
  <r>
    <x v="1"/>
    <s v="P086"/>
    <x v="85"/>
    <n v="38"/>
    <n v="29.5"/>
    <n v="36"/>
    <n v="0.05"/>
  </r>
  <r>
    <x v="1"/>
    <s v="P087"/>
    <x v="86"/>
    <n v="40"/>
    <n v="29.5"/>
    <n v="36"/>
    <n v="0.05"/>
  </r>
  <r>
    <x v="1"/>
    <s v="P088"/>
    <x v="87"/>
    <n v="40"/>
    <n v="29.5"/>
    <n v="36"/>
    <n v="0.05"/>
  </r>
  <r>
    <x v="1"/>
    <s v="P089"/>
    <x v="88"/>
    <n v="38"/>
    <n v="29.5"/>
    <n v="36"/>
    <n v="0.05"/>
  </r>
  <r>
    <x v="1"/>
    <s v="P090"/>
    <x v="89"/>
    <n v="24"/>
    <n v="22.61"/>
    <n v="30"/>
    <n v="0.05"/>
  </r>
  <r>
    <x v="1"/>
    <s v="P091"/>
    <x v="90"/>
    <n v="20"/>
    <n v="14.71"/>
    <n v="24"/>
    <n v="0.4"/>
  </r>
  <r>
    <x v="1"/>
    <s v="P092"/>
    <x v="91"/>
    <n v="19"/>
    <n v="14"/>
    <n v="30"/>
    <n v="0.05"/>
  </r>
  <r>
    <x v="1"/>
    <s v="P093"/>
    <x v="92"/>
    <n v="19"/>
    <n v="14"/>
    <n v="30"/>
    <n v="0.05"/>
  </r>
  <r>
    <x v="1"/>
    <s v="P094"/>
    <x v="93"/>
    <n v="20"/>
    <n v="14"/>
    <n v="30"/>
    <n v="0.05"/>
  </r>
  <r>
    <x v="1"/>
    <s v="P095"/>
    <x v="94"/>
    <n v="19"/>
    <n v="14"/>
    <n v="30"/>
    <n v="0.05"/>
  </r>
  <r>
    <x v="1"/>
    <s v="P096"/>
    <x v="95"/>
    <n v="20"/>
    <n v="14"/>
    <n v="30"/>
    <n v="0.05"/>
  </r>
  <r>
    <x v="1"/>
    <s v="P097"/>
    <x v="96"/>
    <n v="20"/>
    <n v="14"/>
    <n v="30"/>
    <n v="0.05"/>
  </r>
  <r>
    <x v="1"/>
    <s v="P098"/>
    <x v="97"/>
    <n v="19"/>
    <n v="14"/>
    <n v="30"/>
    <n v="0.05"/>
  </r>
  <r>
    <x v="1"/>
    <s v="P099"/>
    <x v="98"/>
    <n v="70"/>
    <n v="37.14"/>
    <n v="24"/>
    <n v="0.05"/>
  </r>
  <r>
    <x v="1"/>
    <s v="PO100"/>
    <x v="99"/>
    <n v="60"/>
    <n v="45"/>
    <n v="24"/>
    <n v="0.05"/>
  </r>
  <r>
    <x v="1"/>
    <s v="PO101"/>
    <x v="100"/>
    <n v="70"/>
    <n v="36.47"/>
    <n v="28"/>
    <n v="0.4"/>
  </r>
  <r>
    <x v="1"/>
    <s v="PO102"/>
    <x v="101"/>
    <n v="70"/>
    <n v="36.25"/>
    <n v="28"/>
    <n v="0.4"/>
  </r>
  <r>
    <x v="1"/>
    <s v="PO103"/>
    <x v="102"/>
    <n v="20"/>
    <n v="14.71"/>
    <n v="24"/>
    <n v="0.4"/>
  </r>
  <r>
    <x v="1"/>
    <s v="PO104"/>
    <x v="103"/>
    <n v="20"/>
    <s v="-"/>
    <s v="-"/>
    <n v="0.05"/>
  </r>
  <r>
    <x v="1"/>
    <s v="PO105"/>
    <x v="104"/>
    <n v="40"/>
    <s v="-"/>
    <s v="-"/>
    <n v="0.05"/>
  </r>
  <r>
    <x v="1"/>
    <s v="PO106"/>
    <x v="105"/>
    <n v="40"/>
    <s v="-"/>
    <s v="-"/>
    <n v="0.05"/>
  </r>
  <r>
    <x v="1"/>
    <s v="PO107"/>
    <x v="106"/>
    <n v="20"/>
    <s v="-"/>
    <s v="-"/>
    <n v="0.05"/>
  </r>
  <r>
    <x v="1"/>
    <s v="PO108"/>
    <x v="107"/>
    <n v="20"/>
    <s v="-"/>
    <s v="-"/>
    <n v="0.05"/>
  </r>
  <r>
    <x v="1"/>
    <s v="PO109"/>
    <x v="108"/>
    <n v="20"/>
    <s v="-"/>
    <s v="-"/>
    <n v="0.05"/>
  </r>
  <r>
    <x v="1"/>
    <s v="PO110"/>
    <x v="109"/>
    <n v="20"/>
    <s v="-"/>
    <s v="-"/>
    <n v="0.05"/>
  </r>
  <r>
    <x v="1"/>
    <s v="PO111"/>
    <x v="110"/>
    <n v="20"/>
    <s v="-"/>
    <s v="-"/>
    <n v="0.05"/>
  </r>
  <r>
    <x v="1"/>
    <s v="PO112"/>
    <x v="111"/>
    <n v="20"/>
    <s v="-"/>
    <s v="-"/>
    <n v="0.05"/>
  </r>
  <r>
    <x v="1"/>
    <s v="PO113"/>
    <x v="112"/>
    <n v="25"/>
    <s v="-"/>
    <s v="-"/>
    <n v="0.05"/>
  </r>
  <r>
    <x v="1"/>
    <s v="PO114"/>
    <x v="113"/>
    <n v="20"/>
    <s v="-"/>
    <s v="-"/>
    <n v="0.05"/>
  </r>
  <r>
    <x v="1"/>
    <s v="PO115"/>
    <x v="114"/>
    <n v="30"/>
    <s v="-"/>
    <s v="-"/>
    <n v="0.05"/>
  </r>
  <r>
    <x v="1"/>
    <s v="PO116"/>
    <x v="115"/>
    <n v="20"/>
    <s v="-"/>
    <s v="-"/>
    <n v="0.05"/>
  </r>
  <r>
    <x v="1"/>
    <s v="PO117"/>
    <x v="116"/>
    <n v="20"/>
    <s v="-"/>
    <s v="-"/>
    <n v="0.05"/>
  </r>
  <r>
    <x v="1"/>
    <s v="PO118"/>
    <x v="117"/>
    <n v="20"/>
    <s v="-"/>
    <s v="-"/>
    <n v="0.05"/>
  </r>
  <r>
    <x v="1"/>
    <s v="PO119"/>
    <x v="118"/>
    <n v="30"/>
    <s v="-"/>
    <s v="-"/>
    <n v="0.05"/>
  </r>
  <r>
    <x v="3"/>
    <s v="PO120"/>
    <x v="119"/>
    <n v="30"/>
    <s v="-"/>
    <s v="-"/>
    <n v="0.05"/>
  </r>
  <r>
    <x v="1"/>
    <s v="PO121"/>
    <x v="120"/>
    <n v="30"/>
    <s v="-"/>
    <s v="-"/>
    <n v="0.05"/>
  </r>
  <r>
    <x v="1"/>
    <s v="PO122"/>
    <x v="121"/>
    <n v="20"/>
    <s v="-"/>
    <s v="-"/>
    <n v="0.05"/>
  </r>
  <r>
    <x v="1"/>
    <s v="PO123"/>
    <x v="122"/>
    <n v="20"/>
    <s v="-"/>
    <s v="-"/>
    <n v="0.05"/>
  </r>
  <r>
    <x v="1"/>
    <s v="PO124"/>
    <x v="123"/>
    <n v="25"/>
    <s v="-"/>
    <s v="-"/>
    <n v="0.05"/>
  </r>
  <r>
    <x v="1"/>
    <s v="PO125"/>
    <x v="124"/>
    <m/>
    <n v="18"/>
    <n v="60"/>
    <n v="0.05"/>
  </r>
  <r>
    <x v="1"/>
    <s v="PO126"/>
    <x v="125"/>
    <m/>
    <n v="18"/>
    <n v="72"/>
    <n v="0.05"/>
  </r>
  <r>
    <x v="1"/>
    <s v="PO127"/>
    <x v="126"/>
    <n v="25"/>
    <s v="-"/>
    <s v="-"/>
    <n v="0.05"/>
  </r>
  <r>
    <x v="1"/>
    <s v="PO128"/>
    <x v="127"/>
    <n v="35"/>
    <s v="-"/>
    <s v="-"/>
    <n v="0.05"/>
  </r>
  <r>
    <x v="1"/>
    <s v="PO129"/>
    <x v="128"/>
    <n v="35"/>
    <s v="-"/>
    <s v="-"/>
    <n v="0.05"/>
  </r>
  <r>
    <x v="4"/>
    <s v="PO130"/>
    <x v="129"/>
    <n v="20"/>
    <s v="-"/>
    <s v="-"/>
    <n v="0.05"/>
  </r>
  <r>
    <x v="1"/>
    <s v="PO131"/>
    <x v="130"/>
    <n v="20"/>
    <s v="-"/>
    <s v="-"/>
    <n v="0.05"/>
  </r>
  <r>
    <x v="1"/>
    <s v="PO132"/>
    <x v="131"/>
    <n v="20"/>
    <s v="-"/>
    <s v="-"/>
    <n v="0.05"/>
  </r>
  <r>
    <x v="1"/>
    <s v="PO133"/>
    <x v="132"/>
    <n v="25"/>
    <s v="-"/>
    <s v="-"/>
    <n v="0.05"/>
  </r>
  <r>
    <x v="1"/>
    <s v="PO134"/>
    <x v="133"/>
    <n v="20"/>
    <s v="-"/>
    <s v="-"/>
    <n v="0.05"/>
  </r>
  <r>
    <x v="1"/>
    <s v="PO135"/>
    <x v="134"/>
    <n v="25"/>
    <s v="-"/>
    <s v="-"/>
    <n v="0.05"/>
  </r>
  <r>
    <x v="1"/>
    <s v="PO136"/>
    <x v="135"/>
    <n v="30"/>
    <s v="-"/>
    <s v="-"/>
    <n v="0.05"/>
  </r>
  <r>
    <x v="1"/>
    <s v="PO137"/>
    <x v="136"/>
    <n v="25"/>
    <s v="-"/>
    <s v="-"/>
    <n v="0.05"/>
  </r>
  <r>
    <x v="1"/>
    <s v="PO138"/>
    <x v="137"/>
    <n v="20"/>
    <s v="-"/>
    <s v="-"/>
    <n v="0.05"/>
  </r>
  <r>
    <x v="1"/>
    <s v="PO139"/>
    <x v="138"/>
    <n v="20"/>
    <s v="-"/>
    <s v="-"/>
    <n v="0.05"/>
  </r>
  <r>
    <x v="1"/>
    <s v="PO140"/>
    <x v="139"/>
    <n v="20"/>
    <s v="-"/>
    <s v="-"/>
    <n v="0.05"/>
  </r>
  <r>
    <x v="1"/>
    <s v="PO141"/>
    <x v="140"/>
    <n v="30"/>
    <s v="-"/>
    <s v="-"/>
    <n v="0.18"/>
  </r>
  <r>
    <x v="1"/>
    <s v="PO142"/>
    <x v="141"/>
    <n v="50"/>
    <s v="-"/>
    <s v="-"/>
    <n v="0.18"/>
  </r>
  <r>
    <x v="1"/>
    <s v="PO143"/>
    <x v="142"/>
    <n v="25"/>
    <s v="-"/>
    <s v="-"/>
    <n v="0.1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" firstHeaderRow="1" firstDataRow="3" firstDataCol="0" rowPageCount="1" colPageCount="1"/>
  <pivotFields count="7">
    <pivotField axis="axisPage" showDropDowns="1" compact="0" outline="0" subtotalTop="1" dragToRow="1" dragToCol="1" dragToPage="1" dragToData="1" dragOff="1" showAll="0" topAutoShow="1" itemPageCount="10" sortType="manual" defaultSubtotal="1">
      <items count="6">
        <item t="data" h="1" sd="1" x="2"/>
        <item t="data" sd="1" x="3"/>
        <item t="data" h="1" sd="1" x="0"/>
        <item t="data" h="1" sd="1" x="4"/>
        <item t="data" h="1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44">
        <item t="data" sd="1" x="100"/>
        <item t="data" h="1" sd="1" x="136"/>
        <item t="data" h="1" sd="1" x="134"/>
        <item t="data" h="1" sd="1" x="132"/>
        <item t="data" h="1" sd="1" x="42"/>
        <item t="data" h="1" sd="1" x="40"/>
        <item t="data" h="1" sd="1" x="39"/>
        <item t="data" h="1" sd="1" x="34"/>
        <item t="data" h="1" sd="1" x="38"/>
        <item t="data" h="1" sd="1" x="35"/>
        <item t="data" h="1" sd="1" x="33"/>
        <item t="data" h="1" sd="1" x="31"/>
        <item t="data" h="1" sd="1" x="37"/>
        <item t="data" h="1" sd="1" x="32"/>
        <item t="data" h="1" sd="1" x="36"/>
        <item t="data" h="1" sd="1" x="41"/>
        <item t="data" h="1" sd="1" x="131"/>
        <item t="data" h="1" sd="1" x="126"/>
        <item t="data" h="1" sd="1" x="120"/>
        <item t="data" h="1" sd="1" x="130"/>
        <item t="data" h="1" sd="1" x="129"/>
        <item t="data" h="1" sd="1" x="135"/>
        <item t="data" h="1" sd="1" x="53"/>
        <item t="data" h="1" sd="1" x="49"/>
        <item t="data" h="1" sd="1" x="50"/>
        <item t="data" h="1" sd="1" x="54"/>
        <item t="data" h="1" sd="1" x="52"/>
        <item t="data" h="1" sd="1" x="51"/>
        <item t="data" h="1" sd="1" x="55"/>
        <item t="data" h="1" sd="1" x="56"/>
        <item t="data" h="1" sd="1" x="74"/>
        <item t="data" h="1" sd="1" x="73"/>
        <item t="data" h="1" sd="1" x="72"/>
        <item t="data" h="1" sd="1" x="66"/>
        <item t="data" h="1" sd="1" x="70"/>
        <item t="data" h="1" sd="1" x="69"/>
        <item t="data" h="1" sd="1" x="68"/>
        <item t="data" h="1" sd="1" x="65"/>
        <item t="data" h="1" sd="1" x="67"/>
        <item t="data" h="1" sd="1" x="141"/>
        <item t="data" h="1" sd="1" x="127"/>
        <item t="data" h="1" sd="1" x="128"/>
        <item t="data" h="1" sd="1" x="124"/>
        <item t="data" h="1" sd="1" x="71"/>
        <item t="data" h="1" sd="1" x="44"/>
        <item t="data" h="1" sd="1" x="45"/>
        <item t="data" h="1" sd="1" x="133"/>
        <item t="data" h="1" sd="1" x="123"/>
        <item t="data" h="1" sd="1" x="90"/>
        <item t="data" h="1" sd="1" x="140"/>
        <item t="data" h="1" sd="1" x="57"/>
        <item t="data" h="1" sd="1" x="58"/>
        <item t="data" h="1" sd="1" x="60"/>
        <item t="data" h="1" sd="1" x="61"/>
        <item t="data" h="1" sd="1" x="64"/>
        <item t="data" h="1" sd="1" x="59"/>
        <item t="data" h="1" sd="1" x="63"/>
        <item t="data" h="1" sd="1" x="30"/>
        <item t="data" h="1" sd="1" x="29"/>
        <item t="data" h="1" sd="1" x="142"/>
        <item t="data" h="1" sd="1" x="24"/>
        <item t="data" h="1" sd="1" x="25"/>
        <item t="data" h="1" sd="1" x="27"/>
        <item t="data" h="1" sd="1" x="28"/>
        <item t="data" h="1" sd="1" x="26"/>
        <item t="data" h="1" sd="1" x="23"/>
        <item t="data" h="1" sd="1" x="22"/>
        <item t="data" h="1" sd="1" x="3"/>
        <item t="data" h="1" sd="1" x="1"/>
        <item t="data" h="1" sd="1" x="5"/>
        <item t="data" h="1" sd="1" x="2"/>
        <item t="data" h="1" sd="1" x="0"/>
        <item t="data" h="1" sd="1" x="7"/>
        <item t="data" h="1" sd="1" x="4"/>
        <item t="data" h="1" sd="1" x="6"/>
        <item t="data" h="1" sd="1" x="99"/>
        <item t="data" h="1" sd="1" x="82"/>
        <item t="data" h="1" sd="1" x="83"/>
        <item t="data" h="1" sd="1" x="98"/>
        <item t="data" h="1" sd="1" x="89"/>
        <item t="data" h="1" sd="1" x="125"/>
        <item t="data" h="1" sd="1" x="81"/>
        <item t="data" h="1" sd="1" x="80"/>
        <item t="data" h="1" sd="1" x="75"/>
        <item t="data" h="1" sd="1" x="121"/>
        <item t="data" h="1" sd="1" x="122"/>
        <item t="data" h="1" sd="1" x="84"/>
        <item t="data" h="1" sd="1" x="85"/>
        <item t="data" h="1" sd="1" x="87"/>
        <item t="data" h="1" sd="1" x="86"/>
        <item t="data" h="1" sd="1" x="88"/>
        <item t="data" h="1" sd="1" x="108"/>
        <item t="data" h="1" sd="1" x="110"/>
        <item t="data" h="1" sd="1" x="113"/>
        <item t="data" h="1" sd="1" x="112"/>
        <item t="data" h="1" sd="1" x="111"/>
        <item t="data" h="1" sd="1" x="104"/>
        <item t="data" h="1" sd="1" x="105"/>
        <item t="data" h="1" sd="1" x="109"/>
        <item t="data" h="1" sd="1" x="103"/>
        <item t="data" h="1" sd="1" x="107"/>
        <item t="data" h="1" sd="1" x="106"/>
        <item t="data" h="1" sd="1" x="118"/>
        <item t="data" h="1" sd="1" x="119"/>
        <item t="data" h="1" sd="1" x="117"/>
        <item t="data" h="1" sd="1" x="115"/>
        <item t="data" h="1" sd="1" x="116"/>
        <item t="data" h="1" sd="1" x="78"/>
        <item t="data" h="1" sd="1" x="79"/>
        <item t="data" h="1" sd="1" x="43"/>
        <item t="data" h="1" sd="1" x="137"/>
        <item t="data" h="1" sd="1" x="138"/>
        <item t="data" h="1" sd="1" x="139"/>
        <item t="data" h="1" sd="1" x="114"/>
        <item t="data" h="1" sd="1" x="47"/>
        <item t="data" h="1" sd="1" x="46"/>
        <item t="data" h="1" sd="1" x="48"/>
        <item t="data" h="1" sd="1" x="62"/>
        <item t="data" h="1" sd="1" x="102"/>
        <item t="data" h="1" sd="1" x="101"/>
        <item t="data" h="1" sd="1" x="77"/>
        <item t="data" h="1" sd="1" x="76"/>
        <item t="data" h="1" sd="1" x="13"/>
        <item t="data" h="1" sd="1" x="14"/>
        <item t="data" h="1" sd="1" x="10"/>
        <item t="data" h="1" sd="1" x="19"/>
        <item t="data" h="1" sd="1" x="9"/>
        <item t="data" h="1" sd="1" x="17"/>
        <item t="data" h="1" sd="1" x="15"/>
        <item t="data" h="1" sd="1" x="16"/>
        <item t="data" h="1" sd="1" x="18"/>
        <item t="data" h="1" sd="1" x="20"/>
        <item t="data" h="1" sd="1" x="12"/>
        <item t="data" h="1" sd="1" x="8"/>
        <item t="data" h="1" sd="1" x="21"/>
        <item t="data" h="1" sd="1" x="11"/>
        <item t="data" h="1" sd="1" x="92"/>
        <item t="data" h="1" sd="1" x="96"/>
        <item t="data" h="1" sd="1" x="97"/>
        <item t="data" h="1" sd="1" x="91"/>
        <item t="data" h="1" sd="1" x="94"/>
        <item t="data" h="1" sd="1" x="95"/>
        <item t="data" h="1" sd="1" x="9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dataField="1" showDropDowns="1" compact="0" numFmtId="9" outline="0" subtotalTop="1" dragToRow="1" dragToCol="1" dragToPage="1" dragToData="1" dragOff="1" showAll="0" topAutoShow="1" itemPageCount="10" sortType="manual" defaultSubtotal="1"/>
  </pivotFields>
  <rowItems count="1">
    <i t="data" r="0" i="0"/>
  </rowItems>
  <colFields count="2">
    <field x="2"/>
    <field x="-2"/>
  </colFields>
  <colItems count="2">
    <i t="grand" r="0" i="0">
      <x v="0"/>
    </i>
    <i t="grand" r="0" i="1">
      <x v="1"/>
    </i>
  </colItems>
  <pageFields count="1">
    <pageField fld="0" item="1" hier="-1"/>
  </pageFields>
  <dataFields count="2">
    <dataField name="Count of QUANTITY" fld="5" subtotal="count" showDataAs="normal" baseField="0" baseItem="0"/>
    <dataField name="Sum of GST" fld="6" subtotal="sum" showDataAs="normal" baseField="0" baseItem="0" numFmtId="9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C8" sqref="C8"/>
    </sheetView>
  </sheetViews>
  <sheetFormatPr baseColWidth="8" defaultRowHeight="14.4"/>
  <cols>
    <col width="24.109375" bestFit="1" customWidth="1" min="1" max="1"/>
    <col width="16.44140625" bestFit="1" customWidth="1" min="2" max="2"/>
    <col width="24.109375" bestFit="1" customWidth="1" min="3" max="3"/>
    <col width="16.44140625" bestFit="1" customWidth="1" min="4" max="4"/>
    <col width="25" bestFit="1" customWidth="1" min="5" max="5"/>
    <col width="11.33203125" bestFit="1" customWidth="1" min="6" max="6"/>
    <col width="31" bestFit="1" customWidth="1" min="7" max="7"/>
    <col width="11.33203125" bestFit="1" customWidth="1" min="8" max="8"/>
    <col width="19.6640625" bestFit="1" customWidth="1" min="9" max="9"/>
    <col width="11.33203125" bestFit="1" customWidth="1" min="10" max="10"/>
    <col width="23.44140625" bestFit="1" customWidth="1" min="11" max="11"/>
    <col width="11.33203125" bestFit="1" customWidth="1" min="12" max="12"/>
    <col width="35" bestFit="1" customWidth="1" min="13" max="13"/>
    <col width="11.33203125" bestFit="1" customWidth="1" min="14" max="14"/>
    <col width="29.109375" bestFit="1" customWidth="1" min="15" max="15"/>
    <col width="11.33203125" bestFit="1" customWidth="1" min="16" max="16"/>
    <col width="28.88671875" bestFit="1" customWidth="1" min="17" max="17"/>
    <col width="11.33203125" bestFit="1" customWidth="1" min="18" max="18"/>
    <col width="19.6640625" bestFit="1" customWidth="1" min="19" max="19"/>
    <col width="11.33203125" bestFit="1" customWidth="1" min="20" max="20"/>
    <col width="19.88671875" bestFit="1" customWidth="1" min="21" max="21"/>
    <col width="11.33203125" bestFit="1" customWidth="1" min="22" max="22"/>
    <col width="22.88671875" bestFit="1" customWidth="1" min="23" max="23"/>
    <col width="11.33203125" bestFit="1" customWidth="1" min="24" max="24"/>
    <col width="21.5546875" bestFit="1" customWidth="1" min="25" max="25"/>
    <col width="11.33203125" bestFit="1" customWidth="1" min="26" max="26"/>
    <col width="31.6640625" bestFit="1" customWidth="1" min="27" max="27"/>
    <col width="11.33203125" bestFit="1" customWidth="1" min="28" max="28"/>
    <col width="20.88671875" bestFit="1" customWidth="1" min="29" max="29"/>
    <col width="11.33203125" bestFit="1" customWidth="1" min="30" max="30"/>
    <col width="30.109375" bestFit="1" customWidth="1" min="31" max="31"/>
    <col width="11.33203125" bestFit="1" customWidth="1" min="32" max="32"/>
    <col width="41.88671875" bestFit="1" customWidth="1" min="33" max="33"/>
    <col width="11.33203125" bestFit="1" customWidth="1" min="34" max="34"/>
    <col width="19.44140625" bestFit="1" customWidth="1" min="35" max="35"/>
    <col width="11.33203125" bestFit="1" customWidth="1" min="36" max="36"/>
    <col width="24.109375" bestFit="1" customWidth="1" min="37" max="37"/>
    <col width="11.33203125" bestFit="1" customWidth="1" min="38" max="38"/>
    <col width="35.88671875" bestFit="1" customWidth="1" min="39" max="39"/>
    <col width="11.33203125" bestFit="1" customWidth="1" min="40" max="40"/>
    <col width="41.109375" bestFit="1" customWidth="1" min="41" max="41"/>
    <col width="11.33203125" bestFit="1" customWidth="1" min="42" max="42"/>
    <col width="35.88671875" bestFit="1" customWidth="1" min="43" max="43"/>
    <col width="11.33203125" bestFit="1" customWidth="1" min="44" max="44"/>
    <col width="28" bestFit="1" customWidth="1" min="45" max="45"/>
    <col width="11.33203125" bestFit="1" customWidth="1" min="46" max="46"/>
    <col width="22.88671875" bestFit="1" customWidth="1" min="47" max="47"/>
    <col width="11.33203125" bestFit="1" customWidth="1" min="48" max="48"/>
    <col width="19.44140625" bestFit="1" customWidth="1" min="49" max="49"/>
    <col width="11.33203125" bestFit="1" customWidth="1" min="50" max="50"/>
    <col width="20.5546875" bestFit="1" customWidth="1" min="51" max="51"/>
    <col width="11.33203125" bestFit="1" customWidth="1" min="52" max="52"/>
    <col width="19" bestFit="1" customWidth="1" min="53" max="53"/>
    <col width="11.33203125" bestFit="1" customWidth="1" min="54" max="54"/>
    <col width="34.88671875" bestFit="1" customWidth="1" min="55" max="55"/>
    <col width="11.33203125" bestFit="1" customWidth="1" min="56" max="56"/>
    <col width="20.88671875" bestFit="1" customWidth="1" min="57" max="57"/>
    <col width="11.33203125" bestFit="1" customWidth="1" min="58" max="58"/>
    <col width="19" bestFit="1" customWidth="1" min="59" max="59"/>
    <col width="11.33203125" bestFit="1" customWidth="1" min="60" max="60"/>
    <col width="19" bestFit="1" customWidth="1" min="61" max="61"/>
    <col width="11.33203125" bestFit="1" customWidth="1" min="62" max="62"/>
    <col width="19" bestFit="1" customWidth="1" min="63" max="63"/>
    <col width="11.33203125" bestFit="1" customWidth="1" min="64" max="64"/>
    <col width="21.88671875" bestFit="1" customWidth="1" min="65" max="65"/>
    <col width="11.33203125" bestFit="1" customWidth="1" min="66" max="66"/>
    <col width="31.33203125" bestFit="1" customWidth="1" min="67" max="67"/>
    <col width="11.33203125" bestFit="1" customWidth="1" min="68" max="68"/>
    <col width="27.88671875" bestFit="1" customWidth="1" min="69" max="69"/>
    <col width="11.33203125" bestFit="1" customWidth="1" min="70" max="70"/>
    <col width="19.5546875" bestFit="1" customWidth="1" min="71" max="71"/>
    <col width="11.33203125" bestFit="1" customWidth="1" min="72" max="72"/>
    <col width="19.6640625" bestFit="1" customWidth="1" min="73" max="73"/>
    <col width="11.33203125" bestFit="1" customWidth="1" min="74" max="74"/>
    <col width="22.88671875" bestFit="1" customWidth="1" min="75" max="75"/>
    <col width="11.33203125" bestFit="1" customWidth="1" min="76" max="76"/>
    <col width="21.109375" bestFit="1" customWidth="1" min="77" max="77"/>
    <col width="11.33203125" bestFit="1" customWidth="1" min="78" max="78"/>
    <col width="26.88671875" bestFit="1" customWidth="1" min="79" max="79"/>
    <col width="11.33203125" bestFit="1" customWidth="1" min="80" max="80"/>
    <col width="26.88671875" bestFit="1" customWidth="1" min="81" max="81"/>
    <col width="11.33203125" bestFit="1" customWidth="1" min="82" max="82"/>
    <col width="23.5546875" bestFit="1" customWidth="1" min="83" max="83"/>
    <col width="11.33203125" bestFit="1" customWidth="1" min="84" max="84"/>
    <col width="25" bestFit="1" customWidth="1" min="85" max="85"/>
    <col width="11.33203125" bestFit="1" customWidth="1" min="86" max="86"/>
    <col width="19" bestFit="1" customWidth="1" min="87" max="87"/>
    <col width="11.33203125" bestFit="1" customWidth="1" min="88" max="88"/>
    <col width="31" bestFit="1" customWidth="1" min="89" max="89"/>
    <col width="11.33203125" bestFit="1" customWidth="1" min="90" max="90"/>
    <col width="25" bestFit="1" customWidth="1" min="91" max="91"/>
    <col width="11.33203125" bestFit="1" customWidth="1" min="92" max="92"/>
    <col width="19" bestFit="1" customWidth="1" min="93" max="93"/>
    <col width="11.33203125" bestFit="1" customWidth="1" min="94" max="94"/>
    <col width="21.5546875" bestFit="1" customWidth="1" min="95" max="95"/>
    <col width="11.33203125" bestFit="1" customWidth="1" min="96" max="96"/>
    <col width="19" bestFit="1" customWidth="1" min="97" max="97"/>
    <col width="11.33203125" bestFit="1" customWidth="1" min="98" max="98"/>
    <col width="36.44140625" bestFit="1" customWidth="1" min="99" max="99"/>
    <col width="11.33203125" bestFit="1" customWidth="1" min="100" max="100"/>
    <col width="37" bestFit="1" customWidth="1" min="101" max="101"/>
    <col width="11.33203125" bestFit="1" customWidth="1" min="102" max="102"/>
    <col width="30.44140625" bestFit="1" customWidth="1" min="103" max="103"/>
    <col width="11.33203125" bestFit="1" customWidth="1" min="104" max="104"/>
    <col width="27.6640625" bestFit="1" customWidth="1" min="105" max="105"/>
    <col width="11.33203125" bestFit="1" customWidth="1" min="106" max="106"/>
    <col width="30.44140625" bestFit="1" customWidth="1" min="107" max="107"/>
    <col width="11.33203125" bestFit="1" customWidth="1" min="108" max="108"/>
    <col width="34" bestFit="1" customWidth="1" min="109" max="109"/>
    <col width="11.33203125" bestFit="1" customWidth="1" min="110" max="110"/>
    <col width="31.44140625" bestFit="1" customWidth="1" min="111" max="111"/>
    <col width="11.33203125" bestFit="1" customWidth="1" min="112" max="112"/>
    <col width="31.88671875" bestFit="1" customWidth="1" min="113" max="113"/>
    <col width="11.33203125" bestFit="1" customWidth="1" min="114" max="114"/>
    <col width="33" bestFit="1" customWidth="1" min="115" max="115"/>
    <col width="11.33203125" bestFit="1" customWidth="1" min="116" max="116"/>
    <col width="27.88671875" bestFit="1" customWidth="1" min="117" max="117"/>
    <col width="11.33203125" bestFit="1" customWidth="1" min="118" max="118"/>
    <col width="19" bestFit="1" customWidth="1" min="119" max="119"/>
    <col width="11.33203125" bestFit="1" customWidth="1" min="120" max="120"/>
    <col width="24.44140625" bestFit="1" customWidth="1" min="121" max="121"/>
    <col width="11.33203125" bestFit="1" customWidth="1" min="122" max="122"/>
    <col width="22.6640625" bestFit="1" customWidth="1" min="123" max="123"/>
    <col width="11.33203125" bestFit="1" customWidth="1" min="124" max="124"/>
    <col width="25.88671875" bestFit="1" customWidth="1" min="125" max="125"/>
    <col width="11.33203125" bestFit="1" customWidth="1" min="126" max="126"/>
    <col width="26.109375" bestFit="1" customWidth="1" min="127" max="127"/>
    <col width="11.33203125" bestFit="1" customWidth="1" min="128" max="128"/>
    <col width="28.44140625" bestFit="1" customWidth="1" min="129" max="129"/>
    <col width="11.33203125" bestFit="1" customWidth="1" min="130" max="130"/>
    <col width="20.33203125" bestFit="1" customWidth="1" min="131" max="131"/>
    <col width="11.33203125" bestFit="1" customWidth="1" min="132" max="132"/>
    <col width="30.109375" bestFit="1" customWidth="1" min="133" max="133"/>
    <col width="11.33203125" bestFit="1" customWidth="1" min="134" max="134"/>
    <col width="36.109375" bestFit="1" customWidth="1" min="135" max="135"/>
    <col width="11.33203125" bestFit="1" customWidth="1" min="136" max="136"/>
    <col width="19" bestFit="1" customWidth="1" min="137" max="137"/>
    <col width="11.33203125" bestFit="1" customWidth="1" min="138" max="138"/>
    <col width="24.6640625" bestFit="1" customWidth="1" min="139" max="139"/>
    <col width="11.33203125" bestFit="1" customWidth="1" min="140" max="140"/>
    <col width="20.6640625" bestFit="1" customWidth="1" min="141" max="141"/>
    <col width="11.33203125" bestFit="1" customWidth="1" min="142" max="142"/>
    <col width="36.44140625" bestFit="1" customWidth="1" min="143" max="143"/>
    <col width="11.33203125" bestFit="1" customWidth="1" min="144" max="144"/>
    <col width="19" bestFit="1" customWidth="1" min="145" max="145"/>
    <col width="11.33203125" bestFit="1" customWidth="1" min="146" max="146"/>
    <col width="29.88671875" bestFit="1" customWidth="1" min="147" max="147"/>
    <col width="11.33203125" bestFit="1" customWidth="1" min="148" max="148"/>
    <col width="22.88671875" bestFit="1" customWidth="1" min="149" max="149"/>
    <col width="11.33203125" bestFit="1" customWidth="1" min="150" max="150"/>
    <col width="19" bestFit="1" customWidth="1" min="151" max="151"/>
    <col width="11.33203125" bestFit="1" customWidth="1" min="152" max="152"/>
    <col width="19" bestFit="1" customWidth="1" min="153" max="153"/>
    <col width="11.33203125" bestFit="1" customWidth="1" min="154" max="154"/>
    <col width="19.109375" bestFit="1" customWidth="1" min="155" max="155"/>
    <col width="11.33203125" bestFit="1" customWidth="1" min="156" max="156"/>
    <col width="19" bestFit="1" customWidth="1" min="157" max="157"/>
    <col width="11.33203125" bestFit="1" customWidth="1" min="158" max="158"/>
    <col width="19.5546875" bestFit="1" customWidth="1" min="159" max="159"/>
    <col width="11.33203125" bestFit="1" customWidth="1" min="160" max="160"/>
    <col width="23.33203125" bestFit="1" customWidth="1" min="161" max="161"/>
    <col width="11.33203125" bestFit="1" customWidth="1" min="162" max="162"/>
    <col width="28.109375" bestFit="1" customWidth="1" min="163" max="163"/>
    <col width="11.33203125" bestFit="1" customWidth="1" min="164" max="164"/>
    <col width="40.5546875" bestFit="1" customWidth="1" min="165" max="165"/>
    <col width="11.33203125" bestFit="1" customWidth="1" min="166" max="166"/>
    <col width="19" bestFit="1" customWidth="1" min="167" max="167"/>
    <col width="11.33203125" bestFit="1" customWidth="1" min="168" max="168"/>
    <col width="25.44140625" bestFit="1" customWidth="1" min="169" max="169"/>
    <col width="11.33203125" bestFit="1" customWidth="1" min="170" max="170"/>
    <col width="24.33203125" bestFit="1" customWidth="1" min="171" max="171"/>
    <col width="11.33203125" bestFit="1" customWidth="1" min="172" max="172"/>
    <col width="19" bestFit="1" customWidth="1" min="173" max="173"/>
    <col width="11.33203125" bestFit="1" customWidth="1" min="174" max="174"/>
    <col width="26.88671875" bestFit="1" customWidth="1" min="175" max="175"/>
    <col width="11.33203125" bestFit="1" customWidth="1" min="176" max="176"/>
    <col width="32.6640625" bestFit="1" customWidth="1" min="177" max="177"/>
    <col width="11.33203125" bestFit="1" customWidth="1" min="178" max="178"/>
    <col width="31.33203125" bestFit="1" customWidth="1" min="179" max="179"/>
    <col width="11.33203125" bestFit="1" customWidth="1" min="180" max="180"/>
    <col width="19" bestFit="1" customWidth="1" min="181" max="181"/>
    <col width="11.33203125" bestFit="1" customWidth="1" min="182" max="182"/>
    <col width="19" bestFit="1" customWidth="1" min="183" max="183"/>
    <col width="11.33203125" bestFit="1" customWidth="1" min="184" max="184"/>
    <col width="24.5546875" bestFit="1" customWidth="1" min="185" max="185"/>
    <col width="11.33203125" bestFit="1" customWidth="1" min="186" max="186"/>
    <col width="19.88671875" bestFit="1" customWidth="1" min="187" max="187"/>
    <col width="11.33203125" bestFit="1" customWidth="1" min="188" max="188"/>
    <col width="20.5546875" bestFit="1" customWidth="1" min="189" max="189"/>
    <col width="11.33203125" bestFit="1" customWidth="1" min="190" max="190"/>
    <col width="25.109375" bestFit="1" customWidth="1" min="191" max="191"/>
    <col width="11.33203125" bestFit="1" customWidth="1" min="192" max="192"/>
    <col width="34.44140625" bestFit="1" customWidth="1" min="193" max="193"/>
    <col width="11.33203125" bestFit="1" customWidth="1" min="194" max="194"/>
    <col width="35.6640625" bestFit="1" customWidth="1" min="195" max="195"/>
    <col width="11.33203125" bestFit="1" customWidth="1" min="196" max="196"/>
    <col width="21" bestFit="1" customWidth="1" min="197" max="197"/>
    <col width="11.33203125" bestFit="1" customWidth="1" min="198" max="198"/>
    <col width="25.44140625" bestFit="1" customWidth="1" min="199" max="199"/>
    <col width="11.33203125" bestFit="1" customWidth="1" min="200" max="200"/>
    <col width="27.6640625" bestFit="1" customWidth="1" min="201" max="201"/>
    <col width="11.33203125" bestFit="1" customWidth="1" min="202" max="202"/>
    <col width="28.109375" bestFit="1" customWidth="1" min="203" max="203"/>
    <col width="11.33203125" bestFit="1" customWidth="1" min="204" max="204"/>
    <col width="19" bestFit="1" customWidth="1" min="205" max="205"/>
    <col width="11.33203125" bestFit="1" customWidth="1" min="206" max="206"/>
    <col width="21.109375" bestFit="1" customWidth="1" min="207" max="207"/>
    <col width="11.33203125" bestFit="1" customWidth="1" min="208" max="208"/>
    <col width="27.5546875" bestFit="1" customWidth="1" min="209" max="209"/>
    <col width="11.33203125" bestFit="1" customWidth="1" min="210" max="210"/>
    <col width="21.6640625" bestFit="1" customWidth="1" min="211" max="211"/>
    <col width="11.33203125" bestFit="1" customWidth="1" min="212" max="212"/>
    <col width="32.6640625" bestFit="1" customWidth="1" min="213" max="213"/>
    <col width="11.33203125" bestFit="1" customWidth="1" min="214" max="214"/>
    <col width="19" bestFit="1" customWidth="1" min="215" max="215"/>
    <col width="11.33203125" bestFit="1" customWidth="1" min="216" max="216"/>
    <col width="22" bestFit="1" customWidth="1" min="217" max="217"/>
    <col width="11.33203125" bestFit="1" customWidth="1" min="218" max="218"/>
    <col width="22" bestFit="1" customWidth="1" min="219" max="219"/>
    <col width="11.33203125" bestFit="1" customWidth="1" min="220" max="220"/>
    <col width="31.5546875" bestFit="1" customWidth="1" min="221" max="221"/>
    <col width="11.33203125" bestFit="1" customWidth="1" min="222" max="222"/>
    <col width="36" bestFit="1" customWidth="1" min="223" max="223"/>
    <col width="11.33203125" bestFit="1" customWidth="1" min="224" max="224"/>
    <col width="31.33203125" bestFit="1" customWidth="1" min="225" max="225"/>
    <col width="11.33203125" bestFit="1" customWidth="1" min="226" max="226"/>
    <col width="23.5546875" bestFit="1" customWidth="1" min="227" max="227"/>
    <col width="11.33203125" bestFit="1" customWidth="1" min="228" max="228"/>
    <col width="19" bestFit="1" customWidth="1" min="229" max="229"/>
    <col width="11.33203125" bestFit="1" customWidth="1" min="230" max="230"/>
    <col width="19" bestFit="1" customWidth="1" min="231" max="231"/>
    <col width="11.33203125" bestFit="1" customWidth="1" min="232" max="232"/>
    <col width="19" bestFit="1" customWidth="1" min="233" max="233"/>
    <col width="11.33203125" bestFit="1" customWidth="1" min="234" max="234"/>
    <col width="31.109375" bestFit="1" customWidth="1" min="235" max="235"/>
    <col width="11.33203125" bestFit="1" customWidth="1" min="236" max="236"/>
    <col width="19" bestFit="1" customWidth="1" min="237" max="237"/>
    <col width="11.33203125" bestFit="1" customWidth="1" min="238" max="238"/>
    <col width="19" bestFit="1" customWidth="1" min="239" max="239"/>
    <col width="11.33203125" bestFit="1" customWidth="1" min="240" max="240"/>
    <col width="19" bestFit="1" customWidth="1" min="241" max="241"/>
    <col width="11.33203125" bestFit="1" customWidth="1" min="242" max="242"/>
    <col width="19" bestFit="1" customWidth="1" min="243" max="243"/>
    <col width="11.33203125" bestFit="1" customWidth="1" min="244" max="244"/>
    <col width="42.6640625" bestFit="1" customWidth="1" min="245" max="245"/>
    <col width="11.33203125" bestFit="1" customWidth="1" min="246" max="246"/>
    <col width="27.109375" bestFit="1" customWidth="1" min="247" max="247"/>
    <col width="11.33203125" bestFit="1" customWidth="1" min="248" max="248"/>
    <col width="26.5546875" bestFit="1" customWidth="1" min="249" max="249"/>
    <col width="11.33203125" bestFit="1" customWidth="1" min="250" max="250"/>
    <col width="27.6640625" bestFit="1" customWidth="1" min="251" max="251"/>
    <col width="11.33203125" bestFit="1" customWidth="1" min="252" max="252"/>
    <col width="33.5546875" bestFit="1" customWidth="1" min="253" max="253"/>
    <col width="11.33203125" bestFit="1" customWidth="1" min="254" max="254"/>
    <col width="36.33203125" bestFit="1" customWidth="1" min="255" max="255"/>
    <col width="11.33203125" bestFit="1" customWidth="1" min="256" max="256"/>
    <col width="37.6640625" bestFit="1" customWidth="1" min="257" max="257"/>
    <col width="11.33203125" bestFit="1" customWidth="1" min="258" max="258"/>
    <col width="28.88671875" bestFit="1" customWidth="1" min="259" max="259"/>
    <col width="11.33203125" bestFit="1" customWidth="1" min="260" max="260"/>
    <col width="27.88671875" bestFit="1" customWidth="1" min="261" max="261"/>
    <col width="11.33203125" bestFit="1" customWidth="1" min="262" max="262"/>
    <col width="19" bestFit="1" customWidth="1" min="263" max="263"/>
    <col width="11.33203125" bestFit="1" customWidth="1" min="264" max="264"/>
    <col width="37.5546875" bestFit="1" customWidth="1" min="265" max="265"/>
    <col width="11.33203125" bestFit="1" customWidth="1" min="266" max="266"/>
    <col width="19.33203125" bestFit="1" customWidth="1" min="267" max="267"/>
    <col width="11.33203125" bestFit="1" customWidth="1" min="268" max="268"/>
    <col width="24.88671875" bestFit="1" customWidth="1" min="269" max="269"/>
    <col width="11.33203125" bestFit="1" customWidth="1" min="270" max="270"/>
    <col width="30.88671875" bestFit="1" customWidth="1" min="271" max="271"/>
    <col width="11.33203125" bestFit="1" customWidth="1" min="272" max="272"/>
    <col width="19" bestFit="1" customWidth="1" min="273" max="273"/>
    <col width="11.33203125" bestFit="1" customWidth="1" min="274" max="274"/>
    <col width="19" bestFit="1" customWidth="1" min="275" max="275"/>
    <col width="11.33203125" bestFit="1" customWidth="1" min="276" max="276"/>
    <col width="26.5546875" bestFit="1" customWidth="1" min="277" max="277"/>
    <col width="11.33203125" bestFit="1" customWidth="1" min="278" max="278"/>
    <col width="24.33203125" bestFit="1" customWidth="1" min="279" max="279"/>
    <col width="11.33203125" bestFit="1" customWidth="1" min="280" max="280"/>
    <col width="20.33203125" bestFit="1" customWidth="1" min="281" max="281"/>
    <col width="11.33203125" bestFit="1" customWidth="1" min="282" max="282"/>
    <col width="27" bestFit="1" customWidth="1" min="283" max="283"/>
    <col width="11.33203125" bestFit="1" customWidth="1" min="284" max="284"/>
    <col width="19" bestFit="1" customWidth="1" min="285" max="285"/>
    <col width="11.33203125" bestFit="1" customWidth="1" min="286" max="286"/>
    <col width="24.109375" bestFit="1" customWidth="1" min="287" max="287"/>
    <col width="16.44140625" bestFit="1" customWidth="1" min="288" max="288"/>
  </cols>
  <sheetData>
    <row r="1">
      <c r="A1" s="21" t="inlineStr">
        <is>
          <t>CATEGORY</t>
        </is>
      </c>
      <c r="B1" t="inlineStr">
        <is>
          <t>BISCUITS</t>
        </is>
      </c>
    </row>
    <row r="3">
      <c r="A3" s="21" t="inlineStr">
        <is>
          <t>PRODUCT_NAME</t>
        </is>
      </c>
      <c r="B3" s="21" t="inlineStr">
        <is>
          <t>Values</t>
        </is>
      </c>
    </row>
    <row r="4">
      <c r="A4" t="inlineStr">
        <is>
          <t>Total Count of QUANTITY</t>
        </is>
      </c>
      <c r="B4" t="inlineStr">
        <is>
          <t>Total Sum of GST</t>
        </is>
      </c>
    </row>
    <row r="6">
      <c r="B6" s="2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U142"/>
  <sheetViews>
    <sheetView topLeftCell="A117" workbookViewId="0">
      <selection activeCell="L13" sqref="L13"/>
    </sheetView>
  </sheetViews>
  <sheetFormatPr baseColWidth="8" defaultRowHeight="15" customHeight="1"/>
  <cols>
    <col width="12" customWidth="1" min="1" max="1"/>
    <col width="12.6640625" customWidth="1" min="2" max="2"/>
    <col width="42.6640625" customWidth="1" min="3" max="3"/>
    <col width="22.6640625" customWidth="1" min="4" max="4"/>
    <col width="25.44140625" customWidth="1" min="6" max="6"/>
    <col width="15.33203125" customWidth="1" min="7" max="7"/>
    <col width="25" customWidth="1" min="10" max="10"/>
    <col width="36.109375" customWidth="1" min="11" max="11"/>
  </cols>
  <sheetData>
    <row r="1">
      <c r="A1" s="1" t="inlineStr">
        <is>
          <t>CATEGORY</t>
        </is>
      </c>
      <c r="B1" s="1" t="inlineStr">
        <is>
          <t>PRODUCT_ID</t>
        </is>
      </c>
      <c r="C1" s="2" t="inlineStr">
        <is>
          <t>PRODUCT_NAME</t>
        </is>
      </c>
      <c r="D1" s="2" t="inlineStr">
        <is>
          <t>PO</t>
        </is>
      </c>
      <c r="E1" s="2" t="inlineStr">
        <is>
          <t>MRP</t>
        </is>
      </c>
      <c r="F1" s="2" t="inlineStr">
        <is>
          <t>QUANTITY</t>
        </is>
      </c>
      <c r="G1" s="1" t="inlineStr">
        <is>
          <t xml:space="preserve">units </t>
        </is>
      </c>
      <c r="H1" s="24" t="inlineStr">
        <is>
          <t>GST</t>
        </is>
      </c>
      <c r="I1" s="24" t="inlineStr">
        <is>
          <t>GST NO</t>
        </is>
      </c>
      <c r="J1" s="1" t="inlineStr">
        <is>
          <t>EAN NO</t>
        </is>
      </c>
      <c r="U1" s="8" t="inlineStr">
        <is>
          <t>Product_ID, Product_Name, Category, Case_size, Unit_Cost, GST_%, Reorder_Level,PO price</t>
        </is>
      </c>
    </row>
    <row r="2">
      <c r="A2" s="42" t="inlineStr">
        <is>
          <t xml:space="preserve">CHIPS </t>
        </is>
      </c>
      <c r="B2" s="42" t="n"/>
      <c r="C2" s="5" t="n"/>
      <c r="D2" s="5" t="n"/>
      <c r="E2" s="6" t="n"/>
      <c r="F2" s="5" t="n"/>
      <c r="G2" s="5" t="n"/>
      <c r="H2" s="25" t="n"/>
      <c r="I2" s="25" t="n"/>
      <c r="J2" s="5" t="n"/>
      <c r="K2" t="inlineStr">
        <is>
          <t xml:space="preserve">Case count * Quantity </t>
        </is>
      </c>
    </row>
    <row r="3">
      <c r="A3" s="43" t="n"/>
      <c r="B3" s="42" t="inlineStr">
        <is>
          <t>P001</t>
        </is>
      </c>
      <c r="C3" s="5" t="inlineStr">
        <is>
          <t>LAYS CLASSIC SALT</t>
        </is>
      </c>
      <c r="D3" s="5" t="n">
        <v>16.35</v>
      </c>
      <c r="E3" s="6" t="n">
        <v>20</v>
      </c>
      <c r="F3" s="5" t="inlineStr">
        <is>
          <t>52g</t>
        </is>
      </c>
      <c r="G3" s="5" t="n">
        <v>90</v>
      </c>
      <c r="H3" s="25" t="n">
        <v>0.05</v>
      </c>
      <c r="I3" s="25" t="n"/>
      <c r="J3" s="37" t="n">
        <v>8901491101837</v>
      </c>
      <c r="K3" s="35" t="inlineStr">
        <is>
          <t>Quantity tb updated - Vishwathi</t>
        </is>
      </c>
    </row>
    <row r="4">
      <c r="A4" s="43" t="n"/>
      <c r="B4" s="42" t="inlineStr">
        <is>
          <t>P002</t>
        </is>
      </c>
      <c r="C4" s="5" t="inlineStr">
        <is>
          <t>LAYS MAGIC MASALA</t>
        </is>
      </c>
      <c r="D4" s="5" t="n">
        <v>16.35</v>
      </c>
      <c r="E4" s="6" t="n">
        <v>20</v>
      </c>
      <c r="F4" s="5" t="inlineStr">
        <is>
          <t>52.9g</t>
        </is>
      </c>
      <c r="G4" s="5" t="n">
        <v>90</v>
      </c>
      <c r="H4" s="25" t="n">
        <v>0.05</v>
      </c>
      <c r="I4" s="25" t="n"/>
      <c r="J4" s="37" t="n">
        <v>8901491101844</v>
      </c>
    </row>
    <row r="5">
      <c r="A5" s="43" t="n"/>
      <c r="B5" s="42" t="inlineStr">
        <is>
          <t>P003</t>
        </is>
      </c>
      <c r="C5" s="5" t="inlineStr">
        <is>
          <t>LAYS AMERICAN STYLE CREAM ONION</t>
        </is>
      </c>
      <c r="D5" s="5" t="n">
        <v>16.35</v>
      </c>
      <c r="E5" s="6" t="n">
        <v>20</v>
      </c>
      <c r="F5" s="5" t="inlineStr">
        <is>
          <t>52.9g</t>
        </is>
      </c>
      <c r="G5" s="5" t="n">
        <v>90</v>
      </c>
      <c r="H5" s="25" t="n">
        <v>0.05</v>
      </c>
      <c r="I5" s="25" t="n"/>
      <c r="J5" s="37" t="n"/>
    </row>
    <row r="6">
      <c r="A6" s="43" t="n"/>
      <c r="B6" s="42" t="inlineStr">
        <is>
          <t>P004</t>
        </is>
      </c>
      <c r="C6" s="5" t="inlineStr">
        <is>
          <t>LAYS SPANISH TOMATO TANGY</t>
        </is>
      </c>
      <c r="D6" s="5" t="n">
        <v>16.35</v>
      </c>
      <c r="E6" s="6" t="n">
        <v>20</v>
      </c>
      <c r="F6" s="5" t="inlineStr">
        <is>
          <t>52.9g</t>
        </is>
      </c>
      <c r="G6" s="5" t="n">
        <v>90</v>
      </c>
      <c r="H6" s="25" t="n">
        <v>0.05</v>
      </c>
      <c r="I6" s="25" t="n"/>
      <c r="J6" s="37" t="n">
        <v>8901491101820</v>
      </c>
    </row>
    <row r="7">
      <c r="A7" s="43" t="n"/>
      <c r="B7" s="42" t="inlineStr">
        <is>
          <t>P005</t>
        </is>
      </c>
      <c r="C7" s="5" t="inlineStr">
        <is>
          <t>LAYS HOT N SWEET CHILLI</t>
        </is>
      </c>
      <c r="D7" s="5" t="n">
        <v>16.35</v>
      </c>
      <c r="E7" s="6" t="n">
        <v>20</v>
      </c>
      <c r="F7" s="5" t="inlineStr">
        <is>
          <t>52.9g</t>
        </is>
      </c>
      <c r="G7" s="5" t="n">
        <v>90</v>
      </c>
      <c r="H7" s="25" t="n">
        <v>0.05</v>
      </c>
      <c r="I7" s="25" t="n"/>
      <c r="J7" s="37" t="n">
        <v>8901491504782</v>
      </c>
    </row>
    <row r="8">
      <c r="A8" s="43" t="n"/>
      <c r="B8" s="42" t="inlineStr">
        <is>
          <t>P006</t>
        </is>
      </c>
      <c r="C8" s="5" t="inlineStr">
        <is>
          <t>LAYS WAFER RED CHILLI</t>
        </is>
      </c>
      <c r="D8" s="5" t="n">
        <v>16.35</v>
      </c>
      <c r="E8" s="6" t="n">
        <v>20</v>
      </c>
      <c r="F8" s="5" t="inlineStr">
        <is>
          <t>52.9g</t>
        </is>
      </c>
      <c r="G8" s="5" t="n">
        <v>90</v>
      </c>
      <c r="H8" s="25" t="n">
        <v>0.05</v>
      </c>
      <c r="I8" s="25" t="n"/>
      <c r="J8" s="37" t="n"/>
    </row>
    <row r="9">
      <c r="A9" s="43" t="n"/>
      <c r="B9" s="42" t="inlineStr">
        <is>
          <t>P007</t>
        </is>
      </c>
      <c r="C9" s="5" t="inlineStr">
        <is>
          <t>LAYS SIZZLIN HOT</t>
        </is>
      </c>
      <c r="D9" s="5" t="n">
        <v>16.35</v>
      </c>
      <c r="E9" s="6" t="n">
        <v>20</v>
      </c>
      <c r="F9" s="5" t="inlineStr">
        <is>
          <t>52.9g</t>
        </is>
      </c>
      <c r="G9" s="5" t="n">
        <v>90</v>
      </c>
      <c r="H9" s="25" t="n">
        <v>0.05</v>
      </c>
      <c r="I9" s="25" t="n"/>
      <c r="J9" s="37" t="n">
        <v>8901491001809</v>
      </c>
    </row>
    <row r="10">
      <c r="A10" s="43" t="n"/>
      <c r="B10" s="42" t="inlineStr">
        <is>
          <t>P008</t>
        </is>
      </c>
      <c r="C10" s="5" t="inlineStr">
        <is>
          <t>TOO YUMM SALTED</t>
        </is>
      </c>
      <c r="D10" s="5" t="n">
        <v>14</v>
      </c>
      <c r="E10" s="6" t="n">
        <v>20</v>
      </c>
      <c r="F10" s="5" t="inlineStr">
        <is>
          <t>44g</t>
        </is>
      </c>
      <c r="G10" s="5" t="n">
        <v>70</v>
      </c>
      <c r="H10" s="25" t="n">
        <v>0.05</v>
      </c>
      <c r="I10" s="25" t="n"/>
      <c r="J10" s="37" t="n"/>
    </row>
    <row r="11">
      <c r="A11" s="43" t="n"/>
      <c r="B11" s="42" t="inlineStr">
        <is>
          <t>P009</t>
        </is>
      </c>
      <c r="C11" s="5" t="inlineStr">
        <is>
          <t>TOO YUMM KARARE CHILLI ACHARI</t>
        </is>
      </c>
      <c r="D11" s="5" t="n">
        <v>14</v>
      </c>
      <c r="E11" s="6" t="n">
        <v>20</v>
      </c>
      <c r="F11" s="5" t="inlineStr">
        <is>
          <t>71.5g</t>
        </is>
      </c>
      <c r="G11" s="5" t="n">
        <v>70</v>
      </c>
      <c r="H11" s="25" t="n">
        <v>0.05</v>
      </c>
      <c r="I11" s="25" t="n"/>
      <c r="J11" s="37" t="n">
        <v>8906090572118</v>
      </c>
      <c r="M11" s="28" t="n"/>
    </row>
    <row r="12">
      <c r="A12" s="43" t="n"/>
      <c r="B12" s="42" t="inlineStr">
        <is>
          <t>P010</t>
        </is>
      </c>
      <c r="C12" s="5" t="inlineStr">
        <is>
          <t>TOO YUMM CHILI CHATAKA</t>
        </is>
      </c>
      <c r="D12" s="5" t="n">
        <v>14</v>
      </c>
      <c r="E12" s="6" t="n">
        <v>20</v>
      </c>
      <c r="F12" s="5" t="inlineStr">
        <is>
          <t>40g</t>
        </is>
      </c>
      <c r="G12" s="5" t="n">
        <v>70</v>
      </c>
      <c r="H12" s="25" t="n">
        <v>0.05</v>
      </c>
      <c r="I12" s="25" t="n"/>
      <c r="J12" s="37" t="n">
        <v>8906090570800</v>
      </c>
    </row>
    <row r="13">
      <c r="A13" s="43" t="n"/>
      <c r="B13" s="42" t="inlineStr">
        <is>
          <t>P011</t>
        </is>
      </c>
      <c r="C13" s="5" t="inlineStr">
        <is>
          <t>TOO YUMM WAFER SPICY CHILLI</t>
        </is>
      </c>
      <c r="D13" s="5" t="n">
        <v>14</v>
      </c>
      <c r="E13" s="6" t="n">
        <v>20</v>
      </c>
      <c r="F13" s="5" t="inlineStr">
        <is>
          <t>35.7g</t>
        </is>
      </c>
      <c r="G13" s="5" t="n">
        <v>70</v>
      </c>
      <c r="H13" s="25" t="n">
        <v>0.05</v>
      </c>
      <c r="I13" s="25" t="n"/>
      <c r="J13" s="37" t="n"/>
    </row>
    <row r="14">
      <c r="A14" s="43" t="n"/>
      <c r="B14" s="42" t="inlineStr">
        <is>
          <t>P012</t>
        </is>
      </c>
      <c r="C14" s="5" t="inlineStr">
        <is>
          <t>TOO YUMM POTATO SPANISH TOMATO</t>
        </is>
      </c>
      <c r="D14" s="5" t="n">
        <v>14</v>
      </c>
      <c r="E14" s="6" t="n">
        <v>20</v>
      </c>
      <c r="F14" s="5" t="inlineStr">
        <is>
          <t>38g</t>
        </is>
      </c>
      <c r="G14" s="5" t="n">
        <v>70</v>
      </c>
      <c r="H14" s="25" t="n">
        <v>0.05</v>
      </c>
      <c r="I14" s="25" t="n"/>
      <c r="J14" s="37" t="n"/>
      <c r="M14" s="29" t="n"/>
    </row>
    <row r="15">
      <c r="A15" s="43" t="n"/>
      <c r="B15" s="42" t="inlineStr">
        <is>
          <t>P013</t>
        </is>
      </c>
      <c r="C15" s="5" t="inlineStr">
        <is>
          <t>TOO YUMM AMERICAN STYLE CREAM ONION</t>
        </is>
      </c>
      <c r="D15" s="5" t="n">
        <v>14</v>
      </c>
      <c r="E15" s="6" t="n">
        <v>20</v>
      </c>
      <c r="F15" s="5" t="inlineStr">
        <is>
          <t>35g</t>
        </is>
      </c>
      <c r="G15" s="5" t="n">
        <v>70</v>
      </c>
      <c r="H15" s="25" t="n">
        <v>0.05</v>
      </c>
      <c r="I15" s="25" t="n"/>
      <c r="J15" s="37" t="n"/>
    </row>
    <row r="16">
      <c r="A16" s="43" t="n"/>
      <c r="B16" s="42" t="inlineStr">
        <is>
          <t>P014</t>
        </is>
      </c>
      <c r="C16" s="5" t="inlineStr">
        <is>
          <t>TOO YUMM BHOOT KARARE</t>
        </is>
      </c>
      <c r="D16" s="5" t="n">
        <v>14</v>
      </c>
      <c r="E16" s="6" t="n">
        <v>20</v>
      </c>
      <c r="F16" s="5" t="inlineStr">
        <is>
          <t>40g</t>
        </is>
      </c>
      <c r="G16" s="5" t="n">
        <v>70</v>
      </c>
      <c r="H16" s="25" t="n">
        <v>0.05</v>
      </c>
      <c r="I16" s="25" t="n"/>
      <c r="J16" s="37" t="n">
        <v>8906090575263</v>
      </c>
    </row>
    <row r="17">
      <c r="A17" s="43" t="n"/>
      <c r="B17" s="42" t="inlineStr">
        <is>
          <t>P015</t>
        </is>
      </c>
      <c r="C17" s="5" t="inlineStr">
        <is>
          <t>TOO YUMM KARARE NOODLES MASALA</t>
        </is>
      </c>
      <c r="D17" s="5" t="n">
        <v>14</v>
      </c>
      <c r="E17" s="6" t="n">
        <v>20</v>
      </c>
      <c r="F17" s="5" t="inlineStr">
        <is>
          <t>40g</t>
        </is>
      </c>
      <c r="G17" s="5" t="n">
        <v>70</v>
      </c>
      <c r="H17" s="25" t="n">
        <v>0.05</v>
      </c>
      <c r="I17" s="25" t="n"/>
      <c r="J17" s="37" t="n">
        <v>8906090572149</v>
      </c>
    </row>
    <row r="18">
      <c r="A18" s="43" t="n"/>
      <c r="B18" s="42" t="inlineStr">
        <is>
          <t>P016</t>
        </is>
      </c>
      <c r="C18" s="5" t="inlineStr">
        <is>
          <t>TOO YUMM KARARE TWISTIES</t>
        </is>
      </c>
      <c r="D18" s="5" t="n">
        <v>14</v>
      </c>
      <c r="E18" s="6" t="n">
        <v>20</v>
      </c>
      <c r="F18" s="5" t="inlineStr">
        <is>
          <t>40g</t>
        </is>
      </c>
      <c r="G18" s="5" t="n">
        <v>70</v>
      </c>
      <c r="H18" s="25" t="n">
        <v>0.05</v>
      </c>
      <c r="I18" s="25" t="n"/>
      <c r="J18" s="37" t="n">
        <v>8906090574495</v>
      </c>
    </row>
    <row r="19">
      <c r="A19" s="43" t="n"/>
      <c r="B19" s="42" t="inlineStr">
        <is>
          <t>P017</t>
        </is>
      </c>
      <c r="C19" s="5" t="inlineStr">
        <is>
          <t>TOO YUMM KARARE MUNCH MASALA</t>
        </is>
      </c>
      <c r="D19" s="5" t="n">
        <v>14</v>
      </c>
      <c r="E19" s="6" t="n">
        <v>20</v>
      </c>
      <c r="F19" s="5" t="inlineStr">
        <is>
          <t>40g</t>
        </is>
      </c>
      <c r="G19" s="5" t="n">
        <v>70</v>
      </c>
      <c r="H19" s="25" t="n">
        <v>0.05</v>
      </c>
      <c r="I19" s="25" t="n"/>
      <c r="J19" s="37" t="n">
        <v>8906090576253</v>
      </c>
    </row>
    <row r="20">
      <c r="A20" s="43" t="n"/>
      <c r="B20" s="42" t="inlineStr">
        <is>
          <t>P018</t>
        </is>
      </c>
      <c r="C20" s="5" t="inlineStr">
        <is>
          <t>TOO YUMM KASHMIRI CHILLI</t>
        </is>
      </c>
      <c r="D20" s="5" t="n">
        <v>14</v>
      </c>
      <c r="E20" s="6" t="n">
        <v>20</v>
      </c>
      <c r="F20" s="5" t="inlineStr">
        <is>
          <t>38g</t>
        </is>
      </c>
      <c r="G20" s="5" t="n">
        <v>70</v>
      </c>
      <c r="H20" s="25" t="n">
        <v>0.05</v>
      </c>
      <c r="I20" s="25" t="n"/>
      <c r="J20" s="37" t="n"/>
    </row>
    <row r="21">
      <c r="A21" s="43" t="n"/>
      <c r="B21" s="42" t="inlineStr">
        <is>
          <t>P019</t>
        </is>
      </c>
      <c r="C21" s="5" t="inlineStr">
        <is>
          <t>TOO YUMM INDIAN MASALA</t>
        </is>
      </c>
      <c r="D21" s="5" t="n">
        <v>14</v>
      </c>
      <c r="E21" s="6" t="n">
        <v>20</v>
      </c>
      <c r="F21" s="5" t="inlineStr">
        <is>
          <t>40g</t>
        </is>
      </c>
      <c r="G21" s="5" t="n">
        <v>70</v>
      </c>
      <c r="H21" s="25" t="n">
        <v>0.05</v>
      </c>
      <c r="I21" s="25" t="n"/>
      <c r="J21" s="37" t="n"/>
    </row>
    <row r="22">
      <c r="A22" s="43" t="n"/>
      <c r="B22" s="42" t="inlineStr">
        <is>
          <t>P020</t>
        </is>
      </c>
      <c r="C22" s="5" t="inlineStr">
        <is>
          <t>TOO YUMM NAGIN</t>
        </is>
      </c>
      <c r="D22" s="5" t="n">
        <v>14</v>
      </c>
      <c r="E22" s="6" t="n">
        <v>20</v>
      </c>
      <c r="F22" s="5" t="inlineStr">
        <is>
          <t>40h</t>
        </is>
      </c>
      <c r="G22" s="5" t="n">
        <v>70</v>
      </c>
      <c r="H22" s="25" t="n">
        <v>0.05</v>
      </c>
      <c r="I22" s="25" t="n"/>
      <c r="J22" s="37" t="n"/>
    </row>
    <row r="23">
      <c r="A23" s="43" t="n"/>
      <c r="B23" s="42" t="inlineStr">
        <is>
          <t>P021</t>
        </is>
      </c>
      <c r="C23" s="5" t="inlineStr">
        <is>
          <t>TOO YUMM SOUR CREAM</t>
        </is>
      </c>
      <c r="D23" s="5" t="n">
        <v>14</v>
      </c>
      <c r="E23" s="6" t="n">
        <v>20</v>
      </c>
      <c r="F23" s="5" t="inlineStr">
        <is>
          <t>35g</t>
        </is>
      </c>
      <c r="G23" s="5" t="n">
        <v>70</v>
      </c>
      <c r="H23" s="25" t="n">
        <v>0.05</v>
      </c>
      <c r="I23" s="25" t="n"/>
      <c r="J23" s="37" t="n"/>
    </row>
    <row r="24">
      <c r="A24" s="43" t="n"/>
      <c r="B24" s="42" t="inlineStr">
        <is>
          <t>P022</t>
        </is>
      </c>
      <c r="C24" s="5" t="inlineStr">
        <is>
          <t>KURKURE SCHEZWAN CHUTNEY</t>
        </is>
      </c>
      <c r="D24" s="5" t="n">
        <v>16.35</v>
      </c>
      <c r="E24" s="6" t="n">
        <v>20</v>
      </c>
      <c r="F24" s="5" t="inlineStr">
        <is>
          <t>78.9g</t>
        </is>
      </c>
      <c r="G24" s="5" t="n">
        <v>56</v>
      </c>
      <c r="H24" s="25" t="n">
        <v>0.05</v>
      </c>
      <c r="I24" s="25" t="n"/>
      <c r="J24" s="37" t="n"/>
    </row>
    <row r="25">
      <c r="A25" s="43" t="n"/>
      <c r="B25" s="42" t="inlineStr">
        <is>
          <t>P023</t>
        </is>
      </c>
      <c r="C25" s="5" t="inlineStr">
        <is>
          <t>KURKURE PUFFCORN</t>
        </is>
      </c>
      <c r="D25" s="5" t="n">
        <v>16.35</v>
      </c>
      <c r="E25" s="6" t="n">
        <v>20</v>
      </c>
      <c r="F25" s="5" t="inlineStr">
        <is>
          <t>78.9g</t>
        </is>
      </c>
      <c r="G25" s="5" t="n">
        <v>56</v>
      </c>
      <c r="H25" s="25" t="n">
        <v>0.05</v>
      </c>
      <c r="I25" s="25" t="n"/>
      <c r="J25" s="37" t="n">
        <v>8901491366052</v>
      </c>
    </row>
    <row r="26">
      <c r="A26" s="43" t="n"/>
      <c r="B26" s="42" t="inlineStr">
        <is>
          <t>P024</t>
        </is>
      </c>
      <c r="C26" s="5" t="inlineStr">
        <is>
          <t>KURKURE CHILLI CHITAKA</t>
        </is>
      </c>
      <c r="D26" s="5" t="n">
        <v>16.35</v>
      </c>
      <c r="E26" s="6" t="n">
        <v>20</v>
      </c>
      <c r="F26" s="5" t="inlineStr">
        <is>
          <t>78.9g</t>
        </is>
      </c>
      <c r="G26" s="5" t="n">
        <v>56</v>
      </c>
      <c r="H26" s="25" t="n">
        <v>0.05</v>
      </c>
      <c r="I26" s="25" t="n"/>
      <c r="J26" s="37" t="n">
        <v>8901491100533</v>
      </c>
    </row>
    <row r="27">
      <c r="A27" s="43" t="n"/>
      <c r="B27" s="42" t="inlineStr">
        <is>
          <t>P025</t>
        </is>
      </c>
      <c r="C27" s="5" t="inlineStr">
        <is>
          <t>KURKURE GREEN CHILLI</t>
        </is>
      </c>
      <c r="D27" s="5" t="n">
        <v>16.35</v>
      </c>
      <c r="E27" s="6" t="n">
        <v>20</v>
      </c>
      <c r="F27" s="5" t="inlineStr">
        <is>
          <t>78.9g</t>
        </is>
      </c>
      <c r="G27" s="5" t="n">
        <v>56</v>
      </c>
      <c r="H27" s="25" t="n">
        <v>0.05</v>
      </c>
      <c r="I27" s="25" t="n"/>
      <c r="J27" s="37" t="n"/>
    </row>
    <row r="28">
      <c r="A28" s="43" t="n"/>
      <c r="B28" s="42" t="inlineStr">
        <is>
          <t>P026</t>
        </is>
      </c>
      <c r="C28" s="5" t="inlineStr">
        <is>
          <t>KURKURE NAUGHTY TOMATO</t>
        </is>
      </c>
      <c r="D28" s="5" t="n">
        <v>16.35</v>
      </c>
      <c r="E28" s="6" t="n">
        <v>20</v>
      </c>
      <c r="F28" s="5" t="inlineStr">
        <is>
          <t>78.9g</t>
        </is>
      </c>
      <c r="G28" s="5" t="n">
        <v>56</v>
      </c>
      <c r="H28" s="25" t="n">
        <v>0.05</v>
      </c>
      <c r="I28" s="25" t="n"/>
      <c r="J28" s="37" t="n">
        <v>8901491103442</v>
      </c>
    </row>
    <row r="29">
      <c r="A29" s="43" t="n"/>
      <c r="B29" s="42" t="inlineStr">
        <is>
          <t>P027</t>
        </is>
      </c>
      <c r="C29" s="5" t="inlineStr">
        <is>
          <t>KURKURE GREEN CHUTNEY</t>
        </is>
      </c>
      <c r="D29" s="5" t="n">
        <v>16.35</v>
      </c>
      <c r="E29" s="6" t="n">
        <v>20</v>
      </c>
      <c r="F29" s="5" t="inlineStr">
        <is>
          <t>78.9g</t>
        </is>
      </c>
      <c r="G29" s="5" t="n">
        <v>56</v>
      </c>
      <c r="H29" s="25" t="n">
        <v>0.05</v>
      </c>
      <c r="I29" s="25" t="n"/>
      <c r="J29" s="37" t="n">
        <v>8901491103084</v>
      </c>
    </row>
    <row r="30">
      <c r="A30" s="43" t="n"/>
      <c r="B30" s="42" t="inlineStr">
        <is>
          <t>P028</t>
        </is>
      </c>
      <c r="C30" s="5" t="inlineStr">
        <is>
          <t>KURKURE MUNCH MASALA</t>
        </is>
      </c>
      <c r="D30" s="5" t="n">
        <v>16.35</v>
      </c>
      <c r="E30" s="6" t="n">
        <v>20</v>
      </c>
      <c r="F30" s="5" t="inlineStr">
        <is>
          <t>78.9g</t>
        </is>
      </c>
      <c r="G30" s="5" t="n">
        <v>56</v>
      </c>
      <c r="H30" s="25" t="n">
        <v>0.05</v>
      </c>
      <c r="I30" s="25" t="n"/>
      <c r="J30" s="37" t="n">
        <v>8901491100519</v>
      </c>
    </row>
    <row r="31">
      <c r="A31" s="43" t="n"/>
      <c r="B31" s="42" t="inlineStr">
        <is>
          <t>P029</t>
        </is>
      </c>
      <c r="C31" s="5" t="inlineStr">
        <is>
          <t>KETTLE STUDIO SWEET CHILLI</t>
        </is>
      </c>
      <c r="D31" s="5" t="n">
        <v>35.71</v>
      </c>
      <c r="E31" s="6" t="n">
        <v>49</v>
      </c>
      <c r="F31" s="5" t="inlineStr">
        <is>
          <t>56g</t>
        </is>
      </c>
      <c r="G31" s="5" t="n">
        <v>48</v>
      </c>
      <c r="H31" s="25" t="n">
        <v>0.05</v>
      </c>
      <c r="I31" s="25" t="n"/>
      <c r="J31" s="37" t="n">
        <v>8906066701115</v>
      </c>
    </row>
    <row r="32">
      <c r="A32" s="43" t="n"/>
      <c r="B32" s="42" t="inlineStr">
        <is>
          <t>P030</t>
        </is>
      </c>
      <c r="C32" s="5" t="inlineStr">
        <is>
          <t>KETTLE STUDIO MATURE CHEDDAR</t>
        </is>
      </c>
      <c r="D32" s="5" t="n">
        <v>35.71</v>
      </c>
      <c r="E32" s="6" t="n">
        <v>49</v>
      </c>
      <c r="F32" s="5" t="inlineStr">
        <is>
          <t>56g</t>
        </is>
      </c>
      <c r="G32" s="5" t="n">
        <v>48</v>
      </c>
      <c r="H32" s="25" t="n">
        <v>0.05</v>
      </c>
      <c r="I32" s="25" t="n"/>
      <c r="J32" s="37" t="n"/>
    </row>
    <row r="33">
      <c r="A33" s="43" t="n"/>
      <c r="B33" s="42" t="inlineStr">
        <is>
          <t>P031</t>
        </is>
      </c>
      <c r="C33" s="5" t="inlineStr">
        <is>
          <t>BINGO NACHOS CHEESE</t>
        </is>
      </c>
      <c r="D33" s="5" t="n">
        <v>15</v>
      </c>
      <c r="E33" s="6" t="n">
        <v>20</v>
      </c>
      <c r="F33" s="5" t="inlineStr">
        <is>
          <t>42g</t>
        </is>
      </c>
      <c r="G33" s="5" t="n">
        <v>60</v>
      </c>
      <c r="H33" s="25" t="n">
        <v>0.05</v>
      </c>
      <c r="I33" s="25" t="n"/>
      <c r="J33" s="37" t="n">
        <v>8901725004903</v>
      </c>
    </row>
    <row r="34">
      <c r="A34" s="43" t="n"/>
      <c r="B34" s="42" t="inlineStr">
        <is>
          <t>P032</t>
        </is>
      </c>
      <c r="C34" s="5" t="inlineStr">
        <is>
          <t>BINGO ORGINAL STYLE PINK SALT</t>
        </is>
      </c>
      <c r="D34" s="5" t="n">
        <v>15</v>
      </c>
      <c r="E34" s="6" t="n">
        <v>20</v>
      </c>
      <c r="F34" s="5" t="inlineStr">
        <is>
          <t>43g</t>
        </is>
      </c>
      <c r="G34" s="5" t="n">
        <v>60</v>
      </c>
      <c r="H34" s="25" t="n">
        <v>0.05</v>
      </c>
      <c r="I34" s="25" t="n"/>
      <c r="J34" s="37" t="n">
        <v>8901725111649</v>
      </c>
    </row>
    <row r="35">
      <c r="A35" s="43" t="n"/>
      <c r="B35" s="42" t="inlineStr">
        <is>
          <t>P033</t>
        </is>
      </c>
      <c r="C35" s="5" t="inlineStr">
        <is>
          <t>BINGO MM MASALA</t>
        </is>
      </c>
      <c r="D35" s="5" t="n">
        <v>15</v>
      </c>
      <c r="E35" s="6" t="n">
        <v>20</v>
      </c>
      <c r="F35" s="5" t="inlineStr">
        <is>
          <t>60g</t>
        </is>
      </c>
      <c r="G35" s="5" t="n">
        <v>60</v>
      </c>
      <c r="H35" s="25" t="n">
        <v>0.05</v>
      </c>
      <c r="I35" s="25" t="n"/>
      <c r="J35" s="37" t="n">
        <v>8901725013790</v>
      </c>
    </row>
    <row r="36">
      <c r="A36" s="43" t="n"/>
      <c r="B36" s="42" t="inlineStr">
        <is>
          <t>P034</t>
        </is>
      </c>
      <c r="C36" s="5" t="inlineStr">
        <is>
          <t>BINGO MAD ANGLES PERI PERI</t>
        </is>
      </c>
      <c r="D36" s="5" t="n">
        <v>15</v>
      </c>
      <c r="E36" s="6" t="n">
        <v>20</v>
      </c>
      <c r="F36" s="5" t="inlineStr">
        <is>
          <t>45g</t>
        </is>
      </c>
      <c r="G36" s="5" t="n">
        <v>56</v>
      </c>
      <c r="H36" s="25" t="n">
        <v>0.05</v>
      </c>
      <c r="I36" s="25" t="n"/>
      <c r="J36" s="37" t="n">
        <v>8901725013721</v>
      </c>
    </row>
    <row r="37">
      <c r="A37" s="43" t="n"/>
      <c r="B37" s="42" t="inlineStr">
        <is>
          <t>P035</t>
        </is>
      </c>
      <c r="C37" s="5" t="inlineStr">
        <is>
          <t>BINGO MASTI CHILLI</t>
        </is>
      </c>
      <c r="D37" s="5" t="n">
        <v>15</v>
      </c>
      <c r="E37" s="6" t="n">
        <v>20</v>
      </c>
      <c r="F37" s="5" t="inlineStr">
        <is>
          <t>43g</t>
        </is>
      </c>
      <c r="G37" s="5" t="n">
        <v>56</v>
      </c>
      <c r="H37" s="25" t="n">
        <v>0.05</v>
      </c>
      <c r="I37" s="25" t="n"/>
      <c r="J37" s="37" t="n"/>
    </row>
    <row r="38">
      <c r="A38" s="43" t="n"/>
      <c r="B38" s="42" t="inlineStr">
        <is>
          <t>P036</t>
        </is>
      </c>
      <c r="C38" s="5" t="inlineStr">
        <is>
          <t>BINGO TEDHE MEDHE</t>
        </is>
      </c>
      <c r="D38" s="5" t="n">
        <v>15</v>
      </c>
      <c r="E38" s="6" t="n">
        <v>30</v>
      </c>
      <c r="F38" s="5" t="inlineStr">
        <is>
          <t>75g</t>
        </is>
      </c>
      <c r="G38" s="5" t="n">
        <v>56</v>
      </c>
      <c r="H38" s="25" t="n">
        <v>0.05</v>
      </c>
      <c r="I38" s="25" t="n"/>
      <c r="J38" s="37" t="n">
        <v>8909081007163</v>
      </c>
    </row>
    <row r="39">
      <c r="A39" s="43" t="n"/>
      <c r="B39" s="42" t="inlineStr">
        <is>
          <t>P037</t>
        </is>
      </c>
      <c r="C39" s="5" t="inlineStr">
        <is>
          <t>BINGO NACHOS CHILLI</t>
        </is>
      </c>
      <c r="D39" s="5" t="n">
        <v>15</v>
      </c>
      <c r="E39" s="6" t="n">
        <v>20</v>
      </c>
      <c r="F39" s="5" t="inlineStr">
        <is>
          <t>42g</t>
        </is>
      </c>
      <c r="G39" s="5" t="n">
        <v>56</v>
      </c>
      <c r="H39" s="25" t="n">
        <v>0.05</v>
      </c>
      <c r="I39" s="25" t="n"/>
      <c r="J39" s="37" t="n">
        <v>8901725004897</v>
      </c>
    </row>
    <row r="40">
      <c r="A40" s="43" t="n"/>
      <c r="B40" s="42" t="inlineStr">
        <is>
          <t>P038</t>
        </is>
      </c>
      <c r="C40" s="5" t="inlineStr">
        <is>
          <t>BINGO MAD ANGLES TOMATO</t>
        </is>
      </c>
      <c r="D40" s="5" t="n">
        <v>15</v>
      </c>
      <c r="E40" s="6" t="n">
        <v>20</v>
      </c>
      <c r="F40" s="5" t="inlineStr">
        <is>
          <t>60g</t>
        </is>
      </c>
      <c r="G40" s="5" t="n">
        <v>56</v>
      </c>
      <c r="H40" s="25" t="n">
        <v>0.05</v>
      </c>
      <c r="I40" s="25" t="n"/>
      <c r="J40" s="37" t="n">
        <v>8901725013769</v>
      </c>
    </row>
    <row r="41">
      <c r="A41" s="43" t="n"/>
      <c r="B41" s="42" t="inlineStr">
        <is>
          <t>P039</t>
        </is>
      </c>
      <c r="C41" s="5" t="inlineStr">
        <is>
          <t>BINGO MAD ANGLE MASALA ACHARI</t>
        </is>
      </c>
      <c r="D41" s="5" t="n">
        <v>15</v>
      </c>
      <c r="E41" s="6" t="n">
        <v>20</v>
      </c>
      <c r="F41" s="5" t="inlineStr">
        <is>
          <t>60g</t>
        </is>
      </c>
      <c r="G41" s="5" t="n">
        <v>56</v>
      </c>
      <c r="H41" s="25" t="n">
        <v>0.05</v>
      </c>
      <c r="I41" s="25" t="n"/>
      <c r="J41" s="37" t="n">
        <v>8901725013677</v>
      </c>
    </row>
    <row r="42">
      <c r="A42" s="43" t="n"/>
      <c r="B42" s="42" t="inlineStr">
        <is>
          <t>P040</t>
        </is>
      </c>
      <c r="C42" s="5" t="inlineStr">
        <is>
          <t>BINGO CREAM &amp; ONION</t>
        </is>
      </c>
      <c r="D42" s="5" t="n">
        <v>15</v>
      </c>
      <c r="E42" s="6" t="n">
        <v>20</v>
      </c>
      <c r="F42" s="5" t="inlineStr">
        <is>
          <t>45g</t>
        </is>
      </c>
      <c r="G42" s="5" t="n">
        <v>56</v>
      </c>
      <c r="H42" s="25" t="n">
        <v>0.05</v>
      </c>
      <c r="I42" s="25" t="n"/>
      <c r="J42" s="37" t="n">
        <v>8901725007553</v>
      </c>
    </row>
    <row r="43">
      <c r="A43" s="43" t="n"/>
      <c r="B43" s="42" t="inlineStr">
        <is>
          <t>P041</t>
        </is>
      </c>
      <c r="C43" s="5" t="inlineStr">
        <is>
          <t>BINGO TOMATO POTATO CHIPS</t>
        </is>
      </c>
      <c r="D43" s="5" t="n">
        <v>15</v>
      </c>
      <c r="E43" s="6" t="n">
        <v>20</v>
      </c>
      <c r="F43" s="5" t="inlineStr">
        <is>
          <t>45g</t>
        </is>
      </c>
      <c r="G43" s="5" t="n">
        <v>56</v>
      </c>
      <c r="H43" s="25" t="n">
        <v>0.05</v>
      </c>
      <c r="I43" s="25" t="n"/>
      <c r="J43" s="37" t="n">
        <v>8901725117788</v>
      </c>
    </row>
    <row r="44">
      <c r="A44" s="43" t="n"/>
      <c r="B44" s="42" t="inlineStr">
        <is>
          <t>P042</t>
        </is>
      </c>
      <c r="C44" s="5" t="inlineStr">
        <is>
          <t>BINGO CLASSIC SALT</t>
        </is>
      </c>
      <c r="D44" s="5" t="n">
        <v>15</v>
      </c>
      <c r="E44" s="6" t="n">
        <v>20</v>
      </c>
      <c r="F44" s="5" t="inlineStr">
        <is>
          <t>43g</t>
        </is>
      </c>
      <c r="G44" s="5" t="n">
        <v>56</v>
      </c>
      <c r="H44" s="25" t="n">
        <v>0.05</v>
      </c>
      <c r="I44" s="25" t="n"/>
      <c r="J44" s="37" t="n">
        <v>8901725111649</v>
      </c>
    </row>
    <row r="45">
      <c r="A45" s="43" t="n"/>
      <c r="B45" s="42" t="inlineStr">
        <is>
          <t>P043</t>
        </is>
      </c>
      <c r="C45" s="5" t="inlineStr">
        <is>
          <t>PVR BUTTER POPCORN</t>
        </is>
      </c>
      <c r="D45" s="5" t="n">
        <v>15</v>
      </c>
      <c r="E45" s="6" t="n">
        <v>25</v>
      </c>
      <c r="F45" s="5" t="inlineStr">
        <is>
          <t>25g</t>
        </is>
      </c>
      <c r="G45" s="5" t="n">
        <v>56</v>
      </c>
      <c r="H45" s="25" t="n">
        <v>0.05</v>
      </c>
      <c r="I45" s="25" t="n"/>
      <c r="J45" s="37" t="n"/>
    </row>
    <row r="46">
      <c r="A46" s="43" t="n"/>
      <c r="B46" s="42" t="inlineStr">
        <is>
          <t>P044</t>
        </is>
      </c>
      <c r="C46" s="5" t="inlineStr">
        <is>
          <t>DORITOD NACHOS SWEET CHILLI</t>
        </is>
      </c>
      <c r="D46" s="5" t="n">
        <v>16.35</v>
      </c>
      <c r="E46" s="6" t="n">
        <v>20</v>
      </c>
      <c r="F46" s="5" t="inlineStr">
        <is>
          <t>51g</t>
        </is>
      </c>
      <c r="G46" s="5" t="n">
        <v>120</v>
      </c>
      <c r="H46" s="25" t="n">
        <v>0.05</v>
      </c>
      <c r="I46" s="25" t="n"/>
      <c r="J46" s="37" t="n">
        <v>8901491990028</v>
      </c>
    </row>
    <row r="47">
      <c r="A47" s="26" t="n"/>
      <c r="B47" s="42" t="inlineStr">
        <is>
          <t>P045</t>
        </is>
      </c>
      <c r="C47" s="5" t="inlineStr">
        <is>
          <t>DORITOS NACHOS CHEESE</t>
        </is>
      </c>
      <c r="D47" s="5" t="n">
        <v>16.35</v>
      </c>
      <c r="E47" s="6" t="n">
        <v>20</v>
      </c>
      <c r="F47" s="5" t="inlineStr">
        <is>
          <t>51g</t>
        </is>
      </c>
      <c r="G47" s="5" t="n">
        <v>120</v>
      </c>
      <c r="H47" s="25" t="n">
        <v>0.05</v>
      </c>
      <c r="I47" s="25" t="n"/>
      <c r="J47" s="37" t="n">
        <v>8901491000192</v>
      </c>
    </row>
    <row r="48">
      <c r="A48" s="41" t="inlineStr">
        <is>
          <t>BEVERAGE</t>
        </is>
      </c>
      <c r="B48" s="41" t="inlineStr">
        <is>
          <t>P046</t>
        </is>
      </c>
      <c r="C48" s="35" t="inlineStr">
        <is>
          <t>RUBY PISTA MILK</t>
        </is>
      </c>
      <c r="D48" s="26" t="n">
        <v>22.75</v>
      </c>
      <c r="E48" s="4" t="n">
        <v>35</v>
      </c>
      <c r="F48" s="35" t="inlineStr">
        <is>
          <t>180ML</t>
        </is>
      </c>
      <c r="G48" t="n">
        <v>56</v>
      </c>
      <c r="H48" s="20" t="n">
        <v>0.05</v>
      </c>
      <c r="I48" s="20" t="n"/>
      <c r="J48" s="37" t="n"/>
    </row>
    <row r="49">
      <c r="A49" s="43" t="n"/>
      <c r="B49" s="42" t="inlineStr">
        <is>
          <t>P047</t>
        </is>
      </c>
      <c r="C49" s="35" t="inlineStr">
        <is>
          <t>RUBY BADAM MILK</t>
        </is>
      </c>
      <c r="D49" s="5" t="n">
        <v>22.75</v>
      </c>
      <c r="E49" s="4" t="n">
        <v>35</v>
      </c>
      <c r="F49" s="35" t="inlineStr">
        <is>
          <t>180ML</t>
        </is>
      </c>
      <c r="G49" t="n">
        <v>56</v>
      </c>
      <c r="H49" s="20" t="n">
        <v>0.05</v>
      </c>
      <c r="I49" s="20" t="n"/>
      <c r="J49" s="37" t="n"/>
    </row>
    <row r="50">
      <c r="A50" s="43" t="n"/>
      <c r="B50" s="42" t="inlineStr">
        <is>
          <t>P048</t>
        </is>
      </c>
      <c r="C50" s="35" t="inlineStr">
        <is>
          <t>RUBY ROSE MILK</t>
        </is>
      </c>
      <c r="D50" s="5" t="n">
        <v>22.75</v>
      </c>
      <c r="E50" s="4" t="n">
        <v>35</v>
      </c>
      <c r="F50" s="35" t="inlineStr">
        <is>
          <t>180ML</t>
        </is>
      </c>
      <c r="G50" t="n">
        <v>56</v>
      </c>
      <c r="H50" s="20" t="n">
        <v>0.05</v>
      </c>
      <c r="I50" s="20" t="n"/>
      <c r="J50" s="37" t="n"/>
    </row>
    <row r="51">
      <c r="A51" s="43" t="n"/>
      <c r="B51" s="42" t="inlineStr">
        <is>
          <t>P049</t>
        </is>
      </c>
      <c r="C51" t="inlineStr">
        <is>
          <t>CAVINS BUTTERSCOTCH</t>
        </is>
      </c>
      <c r="D51" s="5" t="n">
        <v>28.5</v>
      </c>
      <c r="E51" s="4" t="n">
        <v>37</v>
      </c>
      <c r="F51" t="inlineStr">
        <is>
          <t>180ML</t>
        </is>
      </c>
      <c r="G51" t="n">
        <v>30</v>
      </c>
      <c r="H51" s="20" t="n">
        <v>0.05</v>
      </c>
      <c r="I51" s="20" t="n"/>
      <c r="J51" s="37" t="n">
        <v>8902979050906</v>
      </c>
    </row>
    <row r="52">
      <c r="A52" s="43" t="n"/>
      <c r="B52" s="42" t="inlineStr">
        <is>
          <t>P050</t>
        </is>
      </c>
      <c r="C52" t="inlineStr">
        <is>
          <t>CAVINS CHOCOLATE</t>
        </is>
      </c>
      <c r="D52" s="5" t="n">
        <v>28.5</v>
      </c>
      <c r="E52" s="4" t="n">
        <v>37</v>
      </c>
      <c r="F52" t="inlineStr">
        <is>
          <t>180ML</t>
        </is>
      </c>
      <c r="G52" t="n">
        <v>30</v>
      </c>
      <c r="H52" s="20" t="n">
        <v>0.05</v>
      </c>
      <c r="I52" s="20" t="n"/>
      <c r="J52" s="37" t="n">
        <v>8902979052399</v>
      </c>
    </row>
    <row r="53">
      <c r="A53" s="43" t="n"/>
      <c r="B53" s="42" t="inlineStr">
        <is>
          <t>P051</t>
        </is>
      </c>
      <c r="C53" t="inlineStr">
        <is>
          <t>CAVINS PREMIUM MALT MILKSHAKE</t>
        </is>
      </c>
      <c r="D53" s="5" t="n">
        <v>28.5</v>
      </c>
      <c r="E53" s="4" t="n">
        <v>40</v>
      </c>
      <c r="F53" t="inlineStr">
        <is>
          <t>180ML</t>
        </is>
      </c>
      <c r="G53" t="n">
        <v>30</v>
      </c>
      <c r="H53" s="20" t="n">
        <v>0.05</v>
      </c>
      <c r="I53" s="20" t="n"/>
      <c r="J53" s="37" t="n"/>
    </row>
    <row r="54">
      <c r="A54" s="43" t="n"/>
      <c r="B54" s="42" t="inlineStr">
        <is>
          <t>P052</t>
        </is>
      </c>
      <c r="C54" t="inlineStr">
        <is>
          <t>CAVINS ORANGE</t>
        </is>
      </c>
      <c r="D54" s="5" t="n">
        <v>28.5</v>
      </c>
      <c r="E54" s="4" t="n">
        <v>40</v>
      </c>
      <c r="F54" t="inlineStr">
        <is>
          <t>180ML</t>
        </is>
      </c>
      <c r="G54" t="n">
        <v>30</v>
      </c>
      <c r="H54" s="20" t="n">
        <v>0.05</v>
      </c>
      <c r="I54" s="20" t="n"/>
      <c r="J54" s="37" t="n"/>
    </row>
    <row r="55">
      <c r="A55" s="43" t="n"/>
      <c r="B55" s="42" t="inlineStr">
        <is>
          <t>P053</t>
        </is>
      </c>
      <c r="C55" t="inlineStr">
        <is>
          <t>CAVINS BELGIAN CHOCOLATE</t>
        </is>
      </c>
      <c r="D55" s="5" t="n">
        <v>28.5</v>
      </c>
      <c r="E55" s="4" t="n">
        <v>37</v>
      </c>
      <c r="F55" t="inlineStr">
        <is>
          <t>180ML</t>
        </is>
      </c>
      <c r="G55" t="n">
        <v>30</v>
      </c>
      <c r="H55" s="20" t="n">
        <v>0.05</v>
      </c>
      <c r="I55" s="20" t="n"/>
      <c r="J55" s="37" t="n">
        <v>8902979010559</v>
      </c>
    </row>
    <row r="56">
      <c r="A56" s="43" t="n"/>
      <c r="B56" s="42" t="inlineStr">
        <is>
          <t>P054</t>
        </is>
      </c>
      <c r="C56" t="inlineStr">
        <is>
          <t>CAVINS COLD COFFEE</t>
        </is>
      </c>
      <c r="D56" s="5" t="n">
        <v>28.5</v>
      </c>
      <c r="E56" s="4" t="n">
        <v>40</v>
      </c>
      <c r="F56" t="inlineStr">
        <is>
          <t>180ML</t>
        </is>
      </c>
      <c r="G56" t="n">
        <v>30</v>
      </c>
      <c r="H56" s="20" t="n">
        <v>0.05</v>
      </c>
      <c r="I56" s="20" t="n"/>
      <c r="J56" s="37" t="n">
        <v>8902979005326</v>
      </c>
    </row>
    <row r="57">
      <c r="A57" s="43" t="n"/>
      <c r="B57" s="42" t="inlineStr">
        <is>
          <t>P055</t>
        </is>
      </c>
      <c r="C57" t="inlineStr">
        <is>
          <t>CAVINS STRAWBERRY</t>
        </is>
      </c>
      <c r="D57" s="5" t="n">
        <v>28.5</v>
      </c>
      <c r="E57" s="4" t="n">
        <v>37</v>
      </c>
      <c r="F57" t="inlineStr">
        <is>
          <t>180ML</t>
        </is>
      </c>
      <c r="G57" t="n">
        <v>30</v>
      </c>
      <c r="H57" s="20" t="n">
        <v>0.05</v>
      </c>
      <c r="I57" s="20" t="n"/>
      <c r="J57" s="37" t="n">
        <v>8902979052412</v>
      </c>
    </row>
    <row r="58">
      <c r="A58" s="43" t="n"/>
      <c r="B58" s="42" t="inlineStr">
        <is>
          <t>P056</t>
        </is>
      </c>
      <c r="C58" t="inlineStr">
        <is>
          <t>CAVINS VANILLA</t>
        </is>
      </c>
      <c r="D58" s="5" t="n">
        <v>28.5</v>
      </c>
      <c r="E58" s="4" t="n">
        <v>37</v>
      </c>
      <c r="F58" t="inlineStr">
        <is>
          <t>180ML</t>
        </is>
      </c>
      <c r="G58" t="n">
        <v>30</v>
      </c>
      <c r="H58" s="20" t="n">
        <v>0.05</v>
      </c>
      <c r="I58" s="20" t="n"/>
      <c r="J58" s="37" t="n">
        <v>8902979050883</v>
      </c>
    </row>
    <row r="59">
      <c r="A59" s="43" t="n"/>
      <c r="B59" s="42" t="inlineStr">
        <is>
          <t>P057</t>
        </is>
      </c>
      <c r="C59" t="inlineStr">
        <is>
          <t>HERSHEY’S BUTTERSCOTCH MILKSHAKE</t>
        </is>
      </c>
      <c r="D59" s="5" t="n">
        <v>28.9</v>
      </c>
      <c r="E59" s="4" t="n">
        <v>37</v>
      </c>
      <c r="F59" t="inlineStr">
        <is>
          <t>180ML</t>
        </is>
      </c>
      <c r="G59" t="n">
        <v>24</v>
      </c>
      <c r="H59" s="20" t="n">
        <v>0.05</v>
      </c>
      <c r="I59" s="20" t="n"/>
      <c r="J59" s="37" t="n">
        <v>8901071732598</v>
      </c>
    </row>
    <row r="60">
      <c r="A60" s="43" t="n"/>
      <c r="B60" s="42" t="inlineStr">
        <is>
          <t>P058</t>
        </is>
      </c>
      <c r="C60" t="inlineStr">
        <is>
          <t>HERSHEY’S VANILLA MILKSHAKE</t>
        </is>
      </c>
      <c r="D60" s="5" t="n">
        <v>28.9</v>
      </c>
      <c r="E60" s="4" t="n">
        <v>37</v>
      </c>
      <c r="F60" t="inlineStr">
        <is>
          <t>180ML</t>
        </is>
      </c>
      <c r="G60" t="n">
        <v>24</v>
      </c>
      <c r="H60" s="20" t="n">
        <v>0.05</v>
      </c>
      <c r="I60" s="20" t="n"/>
      <c r="J60" s="37" t="n">
        <v>8901071732468</v>
      </c>
    </row>
    <row r="61">
      <c r="A61" s="43" t="n"/>
      <c r="B61" s="42" t="inlineStr">
        <is>
          <t>P059</t>
        </is>
      </c>
      <c r="C61" t="inlineStr">
        <is>
          <t>HERSHEY'S COOKIES AND CREAM</t>
        </is>
      </c>
      <c r="D61" s="5" t="n">
        <v>28.9</v>
      </c>
      <c r="E61" s="4" t="n">
        <v>37</v>
      </c>
      <c r="F61" t="inlineStr">
        <is>
          <t>180ML</t>
        </is>
      </c>
      <c r="G61" t="n">
        <v>24</v>
      </c>
      <c r="H61" s="20" t="n">
        <v>0.05</v>
      </c>
      <c r="I61" s="20" t="n"/>
      <c r="J61" s="37" t="n"/>
    </row>
    <row r="62">
      <c r="A62" s="43" t="n"/>
      <c r="B62" s="42" t="inlineStr">
        <is>
          <t>P060</t>
        </is>
      </c>
      <c r="C62" t="inlineStr">
        <is>
          <t>HERSHEY'S ALMOND FLAVOR</t>
        </is>
      </c>
      <c r="D62" s="5" t="n">
        <v>28.9</v>
      </c>
      <c r="E62" s="4" t="n">
        <v>37</v>
      </c>
      <c r="F62" t="inlineStr">
        <is>
          <t>180ML</t>
        </is>
      </c>
      <c r="G62" t="n">
        <v>24</v>
      </c>
      <c r="H62" s="20" t="n">
        <v>0.05</v>
      </c>
      <c r="I62" s="20" t="n"/>
      <c r="J62" s="37" t="n"/>
    </row>
    <row r="63">
      <c r="A63" s="43" t="n"/>
      <c r="B63" s="42" t="inlineStr">
        <is>
          <t>P061</t>
        </is>
      </c>
      <c r="C63" t="inlineStr">
        <is>
          <t>HERSHEY'S CHOCOLATE FLAVOR</t>
        </is>
      </c>
      <c r="D63" s="5" t="n">
        <v>28.9</v>
      </c>
      <c r="E63" s="4" t="n">
        <v>40</v>
      </c>
      <c r="F63" t="inlineStr">
        <is>
          <t>180ML</t>
        </is>
      </c>
      <c r="G63" t="n">
        <v>24</v>
      </c>
      <c r="H63" s="20" t="n">
        <v>0.05</v>
      </c>
      <c r="I63" s="20" t="n"/>
      <c r="J63" s="37" t="n"/>
    </row>
    <row r="64">
      <c r="A64" s="43" t="n"/>
      <c r="B64" s="42" t="inlineStr">
        <is>
          <t>P062</t>
        </is>
      </c>
      <c r="C64" t="inlineStr">
        <is>
          <t>SOFIT SOYA CHOCOLATE FLAVOR</t>
        </is>
      </c>
      <c r="D64" s="5" t="n">
        <v>28.9</v>
      </c>
      <c r="E64" s="4" t="n">
        <v>40</v>
      </c>
      <c r="F64" t="inlineStr">
        <is>
          <t>180ML</t>
        </is>
      </c>
      <c r="G64" t="n">
        <v>24</v>
      </c>
      <c r="H64" s="20" t="n">
        <v>0.05</v>
      </c>
      <c r="I64" s="20" t="n"/>
      <c r="J64" s="37" t="n"/>
    </row>
    <row r="65">
      <c r="A65" s="43" t="n"/>
      <c r="B65" s="42" t="inlineStr">
        <is>
          <t>P063</t>
        </is>
      </c>
      <c r="C65" t="inlineStr">
        <is>
          <t>HERSHEY'S STRAWBERRY FLAVOR</t>
        </is>
      </c>
      <c r="D65" s="5" t="n">
        <v>28.9</v>
      </c>
      <c r="E65" s="4" t="n">
        <v>40</v>
      </c>
      <c r="F65" t="inlineStr">
        <is>
          <t>180ML</t>
        </is>
      </c>
      <c r="G65" t="n">
        <v>24</v>
      </c>
      <c r="H65" s="20" t="n">
        <v>0.05</v>
      </c>
      <c r="I65" s="20" t="n"/>
      <c r="J65" s="37" t="n"/>
    </row>
    <row r="66">
      <c r="A66" s="43" t="n"/>
      <c r="B66" s="42" t="inlineStr">
        <is>
          <t>P064</t>
        </is>
      </c>
      <c r="C66" t="inlineStr">
        <is>
          <t>HERSHEY'S COFFEE MOCHA FLAVOR</t>
        </is>
      </c>
      <c r="D66" s="5" t="n">
        <v>28.9</v>
      </c>
      <c r="E66" s="4" t="n">
        <v>37</v>
      </c>
      <c r="F66" t="inlineStr">
        <is>
          <t>180ML</t>
        </is>
      </c>
      <c r="G66" t="n">
        <v>24</v>
      </c>
      <c r="H66" s="20" t="n">
        <v>0.05</v>
      </c>
      <c r="I66" s="20" t="n"/>
      <c r="J66" s="37" t="n"/>
    </row>
    <row r="67">
      <c r="A67" s="43" t="n"/>
      <c r="B67" s="42" t="inlineStr">
        <is>
          <t>P065</t>
        </is>
      </c>
      <c r="C67" t="inlineStr">
        <is>
          <t>CREAM BELL ROSE MILK</t>
        </is>
      </c>
      <c r="D67" s="5" t="n">
        <v>22.29</v>
      </c>
      <c r="E67" s="4" t="n">
        <v>30</v>
      </c>
      <c r="F67" t="inlineStr">
        <is>
          <t>180ML</t>
        </is>
      </c>
      <c r="G67" t="n">
        <v>24</v>
      </c>
      <c r="H67" s="20" t="n">
        <v>0.05</v>
      </c>
      <c r="I67" s="20" t="n"/>
      <c r="J67" s="37" t="n"/>
    </row>
    <row r="68">
      <c r="A68" s="43" t="n"/>
      <c r="B68" s="42" t="inlineStr">
        <is>
          <t>P066</t>
        </is>
      </c>
      <c r="C68" t="inlineStr">
        <is>
          <t>CREAM BELL BADAM MILKSHAKE</t>
        </is>
      </c>
      <c r="D68" s="5" t="n">
        <v>22.29</v>
      </c>
      <c r="E68" s="4" t="n">
        <v>30</v>
      </c>
      <c r="F68" t="inlineStr">
        <is>
          <t>180ML</t>
        </is>
      </c>
      <c r="G68" t="n">
        <v>24</v>
      </c>
      <c r="H68" s="20" t="n">
        <v>0.05</v>
      </c>
      <c r="I68" s="20" t="n"/>
      <c r="J68" s="37" t="n"/>
    </row>
    <row r="69">
      <c r="A69" s="43" t="n"/>
      <c r="B69" s="42" t="inlineStr">
        <is>
          <t>P067</t>
        </is>
      </c>
      <c r="C69" t="inlineStr">
        <is>
          <t>CREAM BELL VANNILA</t>
        </is>
      </c>
      <c r="D69" s="5" t="n">
        <v>22.29</v>
      </c>
      <c r="E69" s="4" t="n">
        <v>30</v>
      </c>
      <c r="F69" t="inlineStr">
        <is>
          <t>180ML</t>
        </is>
      </c>
      <c r="G69" t="n">
        <v>24</v>
      </c>
      <c r="H69" s="20" t="n">
        <v>0.05</v>
      </c>
      <c r="I69" s="20" t="n"/>
      <c r="J69" s="37" t="n"/>
    </row>
    <row r="70">
      <c r="A70" s="43" t="n"/>
      <c r="B70" s="42" t="inlineStr">
        <is>
          <t>P068</t>
        </is>
      </c>
      <c r="C70" t="inlineStr">
        <is>
          <t>CREAM BELL COFFEE</t>
        </is>
      </c>
      <c r="D70" s="5" t="n">
        <v>21.67</v>
      </c>
      <c r="E70" s="4" t="n">
        <v>35</v>
      </c>
      <c r="F70" t="inlineStr">
        <is>
          <t>180ML</t>
        </is>
      </c>
      <c r="G70" t="n">
        <v>24</v>
      </c>
      <c r="H70" s="20" t="n">
        <v>0.05</v>
      </c>
      <c r="I70" s="20" t="n"/>
      <c r="J70" s="37" t="n"/>
    </row>
    <row r="71">
      <c r="A71" s="43" t="n"/>
      <c r="B71" s="42" t="inlineStr">
        <is>
          <t>P069</t>
        </is>
      </c>
      <c r="C71" t="inlineStr">
        <is>
          <t>CREAM BELL CHOCO</t>
        </is>
      </c>
      <c r="D71" s="5" t="n">
        <v>21.67</v>
      </c>
      <c r="E71" s="4" t="n">
        <v>35</v>
      </c>
      <c r="F71" t="inlineStr">
        <is>
          <t>180ML</t>
        </is>
      </c>
      <c r="G71" t="n">
        <v>24</v>
      </c>
      <c r="H71" s="20" t="n">
        <v>0.05</v>
      </c>
      <c r="I71" s="20" t="n"/>
      <c r="J71" s="37" t="n"/>
    </row>
    <row r="72">
      <c r="A72" s="43" t="n"/>
      <c r="B72" s="42" t="inlineStr">
        <is>
          <t>P070</t>
        </is>
      </c>
      <c r="C72" t="inlineStr">
        <is>
          <t>CREAM BELL BUTTER SCOTCH</t>
        </is>
      </c>
      <c r="D72" s="5" t="n">
        <v>26</v>
      </c>
      <c r="E72" s="4" t="n">
        <v>35</v>
      </c>
      <c r="F72" t="inlineStr">
        <is>
          <t>180ML</t>
        </is>
      </c>
      <c r="G72" t="n">
        <v>24</v>
      </c>
      <c r="H72" s="20" t="n">
        <v>0.05</v>
      </c>
      <c r="I72" s="20" t="n"/>
      <c r="J72" s="37" t="n"/>
    </row>
    <row r="73">
      <c r="A73" s="43" t="n"/>
      <c r="B73" s="42" t="inlineStr">
        <is>
          <t>P071</t>
        </is>
      </c>
      <c r="C73" t="inlineStr">
        <is>
          <t>DIET COKE</t>
        </is>
      </c>
      <c r="D73" s="5" t="n">
        <v>30</v>
      </c>
      <c r="E73" s="4" t="n">
        <v>40</v>
      </c>
      <c r="F73" t="inlineStr">
        <is>
          <t>250ml</t>
        </is>
      </c>
      <c r="G73" t="n">
        <v>24</v>
      </c>
      <c r="H73" s="20" t="n">
        <v>0.4</v>
      </c>
      <c r="I73" s="20" t="n"/>
      <c r="J73" s="37" t="n"/>
    </row>
    <row r="74">
      <c r="A74" s="43" t="n"/>
      <c r="B74" s="42" t="inlineStr">
        <is>
          <t>P072</t>
        </is>
      </c>
      <c r="C74" t="inlineStr">
        <is>
          <t>COKE TIN ZERO SUGAR</t>
        </is>
      </c>
      <c r="D74" s="5" t="n">
        <v>35</v>
      </c>
      <c r="E74" s="4" t="n">
        <v>70</v>
      </c>
      <c r="F74" t="inlineStr">
        <is>
          <t>350ML</t>
        </is>
      </c>
      <c r="G74" t="n">
        <v>24</v>
      </c>
      <c r="H74" s="20" t="n">
        <v>0.4</v>
      </c>
      <c r="I74" s="20" t="n"/>
      <c r="J74" s="37" t="n">
        <v>8901764061257</v>
      </c>
    </row>
    <row r="75">
      <c r="A75" s="43" t="n"/>
      <c r="B75" s="42" t="inlineStr">
        <is>
          <t>P073</t>
        </is>
      </c>
      <c r="C75" t="inlineStr">
        <is>
          <t>COKE TIN</t>
        </is>
      </c>
      <c r="D75" s="5" t="n">
        <v>35</v>
      </c>
      <c r="E75" s="4" t="n">
        <v>70</v>
      </c>
      <c r="F75" t="inlineStr">
        <is>
          <t>350ML</t>
        </is>
      </c>
      <c r="G75" t="n">
        <v>24</v>
      </c>
      <c r="H75" s="20" t="n">
        <v>0.4</v>
      </c>
      <c r="I75" s="20" t="n"/>
      <c r="J75" s="37" t="n">
        <v>8901764011252</v>
      </c>
    </row>
    <row r="76">
      <c r="A76" s="43" t="n"/>
      <c r="B76" s="42" t="inlineStr">
        <is>
          <t>P074</t>
        </is>
      </c>
      <c r="C76" t="inlineStr">
        <is>
          <t>COKE</t>
        </is>
      </c>
      <c r="D76" s="5" t="n">
        <v>16.07</v>
      </c>
      <c r="E76" s="4" t="n">
        <v>20</v>
      </c>
      <c r="F76" t="inlineStr">
        <is>
          <t>250ML</t>
        </is>
      </c>
      <c r="G76" t="n">
        <v>28</v>
      </c>
      <c r="H76" s="20" t="n">
        <v>0.4</v>
      </c>
      <c r="I76" s="20" t="n"/>
      <c r="J76" s="37" t="n"/>
    </row>
    <row r="77">
      <c r="A77" s="43" t="n"/>
      <c r="B77" s="42" t="inlineStr">
        <is>
          <t>P075</t>
        </is>
      </c>
      <c r="C77" t="inlineStr">
        <is>
          <t>MOUNTAIN DEW</t>
        </is>
      </c>
      <c r="D77" s="5" t="n">
        <v>22.75</v>
      </c>
      <c r="E77" s="4" t="n">
        <v>70</v>
      </c>
      <c r="F77" t="inlineStr">
        <is>
          <t>330ML</t>
        </is>
      </c>
      <c r="G77" t="n">
        <v>24</v>
      </c>
      <c r="H77" s="20" t="n">
        <v>0.4</v>
      </c>
      <c r="I77" s="20" t="n"/>
      <c r="J77" s="37" t="n">
        <v>8902080365043</v>
      </c>
    </row>
    <row r="78">
      <c r="A78" s="43" t="n"/>
      <c r="B78" s="42" t="inlineStr">
        <is>
          <t>P076</t>
        </is>
      </c>
      <c r="C78" s="35" t="inlineStr">
        <is>
          <t>THUMBS UP TIN</t>
        </is>
      </c>
      <c r="D78" s="5" t="n">
        <v>35</v>
      </c>
      <c r="E78" s="4" t="n">
        <v>70</v>
      </c>
      <c r="F78" t="inlineStr">
        <is>
          <t>250ML</t>
        </is>
      </c>
      <c r="G78" t="n">
        <v>24</v>
      </c>
      <c r="H78" s="20" t="n">
        <v>0.4</v>
      </c>
      <c r="I78" s="20" t="n"/>
      <c r="J78" s="37" t="n"/>
    </row>
    <row r="79">
      <c r="A79" s="43" t="n"/>
      <c r="B79" s="42" t="inlineStr">
        <is>
          <t>P077</t>
        </is>
      </c>
      <c r="C79" s="35" t="inlineStr">
        <is>
          <t xml:space="preserve">THUMBS UP </t>
        </is>
      </c>
      <c r="D79" s="5" t="n">
        <v>30</v>
      </c>
      <c r="E79" s="4" t="n">
        <v>20</v>
      </c>
      <c r="F79" s="16" t="inlineStr">
        <is>
          <t>300ML</t>
        </is>
      </c>
      <c r="G79" t="n">
        <v>24</v>
      </c>
      <c r="H79" s="20" t="n">
        <v>0.4</v>
      </c>
      <c r="I79" s="20" t="n"/>
      <c r="J79" s="37" t="n"/>
    </row>
    <row r="80">
      <c r="A80" s="43" t="n"/>
      <c r="B80" s="42" t="inlineStr">
        <is>
          <t>P078</t>
        </is>
      </c>
      <c r="C80" t="inlineStr">
        <is>
          <t>PEPSI TIN</t>
        </is>
      </c>
      <c r="D80" s="5" t="n">
        <v>36.25</v>
      </c>
      <c r="E80" s="4" t="n">
        <v>70</v>
      </c>
      <c r="F80" t="inlineStr">
        <is>
          <t>330ML</t>
        </is>
      </c>
      <c r="G80" t="n">
        <v>24</v>
      </c>
      <c r="H80" s="20" t="n">
        <v>0.4</v>
      </c>
      <c r="I80" s="20" t="n"/>
      <c r="J80" s="37" t="n">
        <v>8902080105045</v>
      </c>
    </row>
    <row r="81">
      <c r="A81" s="43" t="n"/>
      <c r="B81" s="42" t="inlineStr">
        <is>
          <t>P079</t>
        </is>
      </c>
      <c r="C81" s="35" t="inlineStr">
        <is>
          <t>PEPSI ZERO SUGAR TIN</t>
        </is>
      </c>
      <c r="D81" s="5" t="n">
        <v>36.25</v>
      </c>
      <c r="E81" s="4" t="n">
        <v>70</v>
      </c>
      <c r="F81" t="inlineStr">
        <is>
          <t>350ML</t>
        </is>
      </c>
      <c r="G81" t="n">
        <v>24</v>
      </c>
      <c r="H81" s="20" t="n">
        <v>0.4</v>
      </c>
      <c r="I81" s="20" t="n"/>
      <c r="J81" s="37" t="n"/>
    </row>
    <row r="82">
      <c r="A82" s="43" t="n"/>
      <c r="B82" s="42" t="inlineStr">
        <is>
          <t>P080</t>
        </is>
      </c>
      <c r="C82" t="inlineStr">
        <is>
          <t>MONSTER ZERO SUGAR ENERGY DRINK TIN</t>
        </is>
      </c>
      <c r="D82" s="5" t="n">
        <v>75</v>
      </c>
      <c r="E82" s="4" t="n">
        <v>125</v>
      </c>
      <c r="F82" t="inlineStr">
        <is>
          <t>350ML</t>
        </is>
      </c>
      <c r="G82" t="n">
        <v>24</v>
      </c>
      <c r="H82" s="20" t="n">
        <v>0.4</v>
      </c>
      <c r="I82" s="20" t="n"/>
      <c r="J82" s="37" t="n">
        <v>4897036692455</v>
      </c>
    </row>
    <row r="83">
      <c r="A83" s="43" t="n"/>
      <c r="B83" s="42" t="inlineStr">
        <is>
          <t>P081</t>
        </is>
      </c>
      <c r="C83" t="inlineStr">
        <is>
          <t>MONSTER ENERGY DRINK TIN</t>
        </is>
      </c>
      <c r="D83" s="5" t="n">
        <v>75</v>
      </c>
      <c r="E83" s="4" t="n">
        <v>125</v>
      </c>
      <c r="F83" t="inlineStr">
        <is>
          <t>350ML</t>
        </is>
      </c>
      <c r="G83" t="n">
        <v>24</v>
      </c>
      <c r="H83" s="20" t="n">
        <v>0.4</v>
      </c>
      <c r="I83" s="20" t="n"/>
      <c r="J83" s="37" t="n">
        <v>4897036691427</v>
      </c>
    </row>
    <row r="84">
      <c r="A84" s="43" t="n"/>
      <c r="B84" s="42" t="inlineStr">
        <is>
          <t>P083</t>
        </is>
      </c>
      <c r="C84" t="inlineStr">
        <is>
          <t>MAAZA PET BOTTLE</t>
        </is>
      </c>
      <c r="D84" s="5" t="n">
        <v>14</v>
      </c>
      <c r="E84" s="4" t="n">
        <v>19</v>
      </c>
      <c r="F84" t="inlineStr">
        <is>
          <t>250ML</t>
        </is>
      </c>
      <c r="G84" t="n">
        <v>30</v>
      </c>
      <c r="H84" s="20" t="n">
        <v>0.05</v>
      </c>
      <c r="I84" s="20" t="n"/>
      <c r="J84" s="37" t="n">
        <v>8901764092800</v>
      </c>
    </row>
    <row r="85">
      <c r="A85" s="43" t="n"/>
      <c r="B85" s="42" t="inlineStr">
        <is>
          <t>P084</t>
        </is>
      </c>
      <c r="C85" t="inlineStr">
        <is>
          <t>OCEAN DRINK APPLE</t>
        </is>
      </c>
      <c r="D85" s="5" t="n">
        <v>28.52</v>
      </c>
      <c r="E85" s="4" t="n">
        <v>38</v>
      </c>
      <c r="F85" t="inlineStr">
        <is>
          <t>250ML</t>
        </is>
      </c>
      <c r="G85" t="n">
        <v>36</v>
      </c>
      <c r="H85" s="20" t="n">
        <v>0.05</v>
      </c>
      <c r="I85" s="20" t="n"/>
      <c r="J85" s="37" t="n"/>
    </row>
    <row r="86">
      <c r="A86" s="43" t="n"/>
      <c r="B86" s="42" t="inlineStr">
        <is>
          <t>P085</t>
        </is>
      </c>
      <c r="C86" t="inlineStr">
        <is>
          <t>OCEAN DRINK GREEN APPLE</t>
        </is>
      </c>
      <c r="D86" s="5" t="n">
        <v>28.52</v>
      </c>
      <c r="E86" s="4" t="n">
        <v>38</v>
      </c>
      <c r="F86" t="inlineStr">
        <is>
          <t>250ML</t>
        </is>
      </c>
      <c r="G86" t="n">
        <v>36</v>
      </c>
      <c r="H86" s="20" t="n">
        <v>0.05</v>
      </c>
      <c r="I86" s="20" t="n"/>
      <c r="J86" s="37" t="n"/>
    </row>
    <row r="87">
      <c r="A87" s="43" t="n"/>
      <c r="B87" s="42" t="inlineStr">
        <is>
          <t>P086</t>
        </is>
      </c>
      <c r="C87" t="inlineStr">
        <is>
          <t>OCEAN DRINK PEACH &amp; PASSION</t>
        </is>
      </c>
      <c r="D87" s="5" t="n">
        <v>28.52</v>
      </c>
      <c r="E87" s="4" t="n">
        <v>40</v>
      </c>
      <c r="F87" t="inlineStr">
        <is>
          <t>250ML</t>
        </is>
      </c>
      <c r="G87" t="n">
        <v>36</v>
      </c>
      <c r="H87" s="20" t="n">
        <v>0.05</v>
      </c>
      <c r="I87" s="20" t="n"/>
      <c r="J87" s="37" t="n"/>
    </row>
    <row r="88">
      <c r="A88" s="43" t="n"/>
      <c r="B88" s="42" t="inlineStr">
        <is>
          <t>P087</t>
        </is>
      </c>
      <c r="C88" t="inlineStr">
        <is>
          <t>OCEAN DRINK MANGO &amp; PASSION</t>
        </is>
      </c>
      <c r="D88" s="5" t="n">
        <v>28.52</v>
      </c>
      <c r="E88" s="4" t="n">
        <v>40</v>
      </c>
      <c r="F88" t="inlineStr">
        <is>
          <t>250ML</t>
        </is>
      </c>
      <c r="G88" t="n">
        <v>36</v>
      </c>
      <c r="H88" s="20" t="n">
        <v>0.05</v>
      </c>
      <c r="I88" s="20" t="n"/>
      <c r="J88" s="37" t="n"/>
    </row>
    <row r="89">
      <c r="A89" s="43" t="n"/>
      <c r="B89" s="42" t="inlineStr">
        <is>
          <t>P088</t>
        </is>
      </c>
      <c r="C89" t="inlineStr">
        <is>
          <t>OCEAN PINK GUVA</t>
        </is>
      </c>
      <c r="D89" s="5" t="n">
        <v>28.52</v>
      </c>
      <c r="E89" s="4" t="n">
        <v>38</v>
      </c>
      <c r="F89" t="inlineStr">
        <is>
          <t>250ML</t>
        </is>
      </c>
      <c r="G89" t="n">
        <v>36</v>
      </c>
      <c r="H89" s="20" t="n">
        <v>0.05</v>
      </c>
      <c r="I89" s="20" t="n"/>
      <c r="J89" s="37" t="n"/>
    </row>
    <row r="90">
      <c r="A90" s="43" t="n"/>
      <c r="B90" s="42" t="inlineStr">
        <is>
          <t>P089</t>
        </is>
      </c>
      <c r="C90" t="inlineStr">
        <is>
          <t>MM PULPY ORANGE</t>
        </is>
      </c>
      <c r="D90" s="5" t="n">
        <v>19</v>
      </c>
      <c r="E90" s="4" t="n">
        <v>24</v>
      </c>
      <c r="F90" t="inlineStr">
        <is>
          <t>250ML</t>
        </is>
      </c>
      <c r="G90" t="n">
        <v>30</v>
      </c>
      <c r="H90" s="20" t="n">
        <v>0.05</v>
      </c>
      <c r="I90" s="20" t="n"/>
      <c r="J90" s="37" t="n"/>
    </row>
    <row r="91">
      <c r="A91" s="43" t="n"/>
      <c r="B91" s="42" t="inlineStr">
        <is>
          <t>P090</t>
        </is>
      </c>
      <c r="C91" t="inlineStr">
        <is>
          <t>FANTA</t>
        </is>
      </c>
      <c r="D91" s="5" t="n">
        <v>14.71</v>
      </c>
      <c r="E91" s="4" t="n">
        <v>20</v>
      </c>
      <c r="F91" t="inlineStr">
        <is>
          <t>250ML</t>
        </is>
      </c>
      <c r="G91" t="n">
        <v>24</v>
      </c>
      <c r="H91" s="20" t="n">
        <v>0.4</v>
      </c>
      <c r="I91" s="20" t="n"/>
      <c r="J91" s="37" t="n"/>
    </row>
    <row r="92">
      <c r="A92" s="43" t="n"/>
      <c r="B92" s="42" t="inlineStr">
        <is>
          <t>P091</t>
        </is>
      </c>
      <c r="C92" t="inlineStr">
        <is>
          <t>TROPICANA MIXED FRUIT</t>
        </is>
      </c>
      <c r="D92" s="5" t="n">
        <v>14.25</v>
      </c>
      <c r="E92" s="4" t="n">
        <v>19</v>
      </c>
      <c r="F92" t="inlineStr">
        <is>
          <t>180ML</t>
        </is>
      </c>
      <c r="G92" t="n">
        <v>30</v>
      </c>
      <c r="H92" s="20" t="n">
        <v>0.05</v>
      </c>
      <c r="I92" s="20" t="n"/>
      <c r="J92" s="37" t="n"/>
    </row>
    <row r="93">
      <c r="A93" s="43" t="n"/>
      <c r="B93" s="42" t="inlineStr">
        <is>
          <t>P092</t>
        </is>
      </c>
      <c r="C93" t="inlineStr">
        <is>
          <t>TROPICANA APPLE</t>
        </is>
      </c>
      <c r="D93" s="5" t="n">
        <v>14.25</v>
      </c>
      <c r="E93" s="4" t="n">
        <v>19</v>
      </c>
      <c r="F93" t="inlineStr">
        <is>
          <t>180ML</t>
        </is>
      </c>
      <c r="G93" t="n">
        <v>30</v>
      </c>
      <c r="H93" s="20" t="n">
        <v>0.05</v>
      </c>
      <c r="I93" s="20" t="n"/>
      <c r="J93" s="37" t="n"/>
    </row>
    <row r="94">
      <c r="A94" s="43" t="n"/>
      <c r="B94" s="42" t="inlineStr">
        <is>
          <t>P093</t>
        </is>
      </c>
      <c r="C94" t="inlineStr">
        <is>
          <t>TROPICANA SLICE</t>
        </is>
      </c>
      <c r="D94" s="5" t="n">
        <v>36.47</v>
      </c>
      <c r="E94" s="4" t="n">
        <v>20</v>
      </c>
      <c r="F94" t="inlineStr">
        <is>
          <t>180ML</t>
        </is>
      </c>
      <c r="G94" t="n">
        <v>30</v>
      </c>
      <c r="H94" s="20" t="n">
        <v>0.05</v>
      </c>
      <c r="I94" s="20" t="n"/>
      <c r="J94" s="37" t="n"/>
    </row>
    <row r="95">
      <c r="A95" s="43" t="n"/>
      <c r="B95" s="42" t="inlineStr">
        <is>
          <t>P094</t>
        </is>
      </c>
      <c r="C95" t="inlineStr">
        <is>
          <t>TROPICANA ORANGE</t>
        </is>
      </c>
      <c r="D95" s="5" t="n">
        <v>14.25</v>
      </c>
      <c r="E95" s="4" t="n">
        <v>19</v>
      </c>
      <c r="F95" t="inlineStr">
        <is>
          <t>180ML</t>
        </is>
      </c>
      <c r="G95" t="n">
        <v>30</v>
      </c>
      <c r="H95" s="20" t="n">
        <v>0.05</v>
      </c>
      <c r="I95" s="20" t="n"/>
      <c r="J95" s="37" t="n"/>
    </row>
    <row r="96">
      <c r="A96" s="43" t="n"/>
      <c r="B96" s="42" t="inlineStr">
        <is>
          <t>P095</t>
        </is>
      </c>
      <c r="C96" t="inlineStr">
        <is>
          <t>TROPICANA POMEGRANATE</t>
        </is>
      </c>
      <c r="D96" s="5" t="n">
        <v>14.25</v>
      </c>
      <c r="E96" s="4" t="n">
        <v>20</v>
      </c>
      <c r="F96" t="inlineStr">
        <is>
          <t>180ML</t>
        </is>
      </c>
      <c r="G96" t="n">
        <v>30</v>
      </c>
      <c r="H96" s="20" t="n">
        <v>0.05</v>
      </c>
      <c r="I96" s="20" t="n"/>
      <c r="J96" s="37" t="n"/>
    </row>
    <row r="97">
      <c r="A97" s="43" t="n"/>
      <c r="B97" s="42" t="inlineStr">
        <is>
          <t>P096</t>
        </is>
      </c>
      <c r="C97" t="inlineStr">
        <is>
          <t>TROPICANA GUVA</t>
        </is>
      </c>
      <c r="D97" s="5" t="n">
        <v>14.25</v>
      </c>
      <c r="E97" s="4" t="n">
        <v>20</v>
      </c>
      <c r="F97" t="inlineStr">
        <is>
          <t>180ML</t>
        </is>
      </c>
      <c r="G97" t="n">
        <v>30</v>
      </c>
      <c r="H97" s="20" t="n">
        <v>0.05</v>
      </c>
      <c r="I97" s="20" t="n"/>
      <c r="J97" s="37" t="n"/>
    </row>
    <row r="98">
      <c r="A98" s="43" t="n"/>
      <c r="B98" s="42" t="inlineStr">
        <is>
          <t>P097</t>
        </is>
      </c>
      <c r="C98" t="inlineStr">
        <is>
          <t>TROPICANA LITCHI DELIGHT</t>
        </is>
      </c>
      <c r="D98" s="5" t="n">
        <v>14.25</v>
      </c>
      <c r="E98" s="4" t="n">
        <v>19</v>
      </c>
      <c r="F98" t="inlineStr">
        <is>
          <t>180ML</t>
        </is>
      </c>
      <c r="G98" t="n">
        <v>30</v>
      </c>
      <c r="H98" s="20" t="n">
        <v>0.05</v>
      </c>
      <c r="I98" s="20" t="n"/>
      <c r="J98" s="37" t="n"/>
    </row>
    <row r="99">
      <c r="A99" s="43" t="n"/>
      <c r="B99" s="42" t="inlineStr">
        <is>
          <t>P099</t>
        </is>
      </c>
      <c r="C99" t="inlineStr">
        <is>
          <t>LIPTON ICE TEA</t>
        </is>
      </c>
      <c r="D99" s="5" t="n">
        <v>45</v>
      </c>
      <c r="E99" s="4" t="n">
        <v>60</v>
      </c>
      <c r="F99" t="inlineStr">
        <is>
          <t>200ML</t>
        </is>
      </c>
      <c r="G99" t="n">
        <v>24</v>
      </c>
      <c r="H99" s="20" t="n">
        <v>0.05</v>
      </c>
      <c r="I99" s="20" t="n"/>
      <c r="J99" s="37" t="n"/>
    </row>
    <row r="100">
      <c r="A100" s="43" t="n"/>
      <c r="B100" s="42" t="inlineStr">
        <is>
          <t>P100</t>
        </is>
      </c>
      <c r="C100" t="inlineStr">
        <is>
          <t>7UP TIN</t>
        </is>
      </c>
      <c r="D100" s="5" t="n">
        <v>36.47</v>
      </c>
      <c r="E100" s="4" t="n">
        <v>70</v>
      </c>
      <c r="F100" t="inlineStr">
        <is>
          <t>350ML</t>
        </is>
      </c>
      <c r="G100" t="n">
        <v>24</v>
      </c>
      <c r="H100" s="20" t="n">
        <v>0.4</v>
      </c>
      <c r="I100" s="20" t="n"/>
      <c r="J100" s="37" t="n"/>
    </row>
    <row r="101">
      <c r="A101" s="43" t="n"/>
      <c r="B101" s="42" t="inlineStr">
        <is>
          <t>P101</t>
        </is>
      </c>
      <c r="C101" t="inlineStr">
        <is>
          <t>SPRITE TIN</t>
        </is>
      </c>
      <c r="D101" s="5" t="n">
        <v>35</v>
      </c>
      <c r="E101" s="4" t="n">
        <v>70</v>
      </c>
      <c r="F101" t="inlineStr">
        <is>
          <t>350ML</t>
        </is>
      </c>
      <c r="G101" t="n">
        <v>24</v>
      </c>
      <c r="H101" s="20" t="n">
        <v>0.4</v>
      </c>
      <c r="I101" s="20" t="n"/>
      <c r="J101" s="37" t="n"/>
    </row>
    <row r="102">
      <c r="A102" s="43" t="n"/>
      <c r="B102" s="42" t="inlineStr">
        <is>
          <t>P102</t>
        </is>
      </c>
      <c r="C102" t="inlineStr">
        <is>
          <t>SPRITE</t>
        </is>
      </c>
      <c r="D102" s="5" t="n">
        <v>16.07</v>
      </c>
      <c r="E102" s="4" t="n">
        <v>20</v>
      </c>
      <c r="F102" t="inlineStr">
        <is>
          <t>250ML</t>
        </is>
      </c>
      <c r="G102" t="n">
        <v>24</v>
      </c>
      <c r="H102" s="20" t="n">
        <v>0.4</v>
      </c>
      <c r="I102" s="20" t="n"/>
      <c r="J102" s="37" t="n"/>
    </row>
    <row r="103">
      <c r="A103" s="43" t="n"/>
      <c r="B103" s="38" t="inlineStr">
        <is>
          <t>P103</t>
        </is>
      </c>
      <c r="C103" s="35" t="inlineStr">
        <is>
          <t>PAPER BOAT SWING GUVA</t>
        </is>
      </c>
      <c r="D103" s="5" t="inlineStr">
        <is>
          <t>-</t>
        </is>
      </c>
      <c r="E103" s="4" t="n">
        <v>20</v>
      </c>
      <c r="G103" t="inlineStr">
        <is>
          <t>-</t>
        </is>
      </c>
      <c r="H103" s="20" t="n">
        <v>0.05</v>
      </c>
      <c r="I103" s="20" t="n"/>
      <c r="J103" s="37" t="n"/>
    </row>
    <row r="104">
      <c r="A104" s="43" t="n"/>
      <c r="B104" s="38" t="inlineStr">
        <is>
          <t>P104</t>
        </is>
      </c>
      <c r="C104" s="35" t="inlineStr">
        <is>
          <t>PAPER BOAT NATA DE COCO LYCHEE</t>
        </is>
      </c>
      <c r="D104" s="5" t="inlineStr">
        <is>
          <t>-</t>
        </is>
      </c>
      <c r="E104" s="4" t="n">
        <v>40</v>
      </c>
      <c r="F104" t="inlineStr">
        <is>
          <t>-</t>
        </is>
      </c>
      <c r="G104" t="inlineStr">
        <is>
          <t>-</t>
        </is>
      </c>
      <c r="H104" s="20" t="n">
        <v>0.05</v>
      </c>
      <c r="I104" s="20" t="n"/>
      <c r="J104" s="37" t="n"/>
    </row>
    <row r="105">
      <c r="A105" s="43" t="n"/>
      <c r="B105" s="38" t="inlineStr">
        <is>
          <t>P105</t>
        </is>
      </c>
      <c r="C105" s="35" t="inlineStr">
        <is>
          <t>PAPER BOAT NATA DE COCO ORANGE</t>
        </is>
      </c>
      <c r="D105" s="5" t="inlineStr">
        <is>
          <t>-</t>
        </is>
      </c>
      <c r="E105" s="4" t="n">
        <v>40</v>
      </c>
      <c r="F105" t="inlineStr">
        <is>
          <t>-</t>
        </is>
      </c>
      <c r="G105" t="inlineStr">
        <is>
          <t>-</t>
        </is>
      </c>
      <c r="H105" s="20" t="n">
        <v>0.05</v>
      </c>
      <c r="I105" s="20" t="n"/>
      <c r="J105" s="37" t="n"/>
    </row>
    <row r="106">
      <c r="A106" s="43" t="n"/>
      <c r="B106" s="38" t="inlineStr">
        <is>
          <t>P106</t>
        </is>
      </c>
      <c r="C106" s="35" t="inlineStr">
        <is>
          <t>PAPER BOAT SWING ORANGE</t>
        </is>
      </c>
      <c r="D106" s="5" t="inlineStr">
        <is>
          <t>-</t>
        </is>
      </c>
      <c r="E106" s="4" t="n">
        <v>20</v>
      </c>
      <c r="F106" t="inlineStr">
        <is>
          <t>-</t>
        </is>
      </c>
      <c r="G106" t="inlineStr">
        <is>
          <t>-</t>
        </is>
      </c>
      <c r="H106" s="20" t="n">
        <v>0.05</v>
      </c>
      <c r="I106" s="20" t="n"/>
      <c r="J106" s="37" t="n"/>
    </row>
    <row r="107">
      <c r="A107" s="43" t="n"/>
      <c r="B107" s="38" t="inlineStr">
        <is>
          <t>P107</t>
        </is>
      </c>
      <c r="C107" s="35" t="inlineStr">
        <is>
          <t>PAPER BOAT SWING MANGO</t>
        </is>
      </c>
      <c r="D107" s="5" t="inlineStr">
        <is>
          <t>-</t>
        </is>
      </c>
      <c r="E107" s="4" t="n">
        <v>20</v>
      </c>
      <c r="F107" t="inlineStr">
        <is>
          <t>-</t>
        </is>
      </c>
      <c r="G107" t="inlineStr">
        <is>
          <t>-</t>
        </is>
      </c>
      <c r="H107" s="20" t="n">
        <v>0.05</v>
      </c>
      <c r="I107" s="20" t="n"/>
      <c r="J107" s="37" t="n"/>
    </row>
    <row r="108">
      <c r="A108" s="43" t="n"/>
      <c r="B108" s="38" t="inlineStr">
        <is>
          <t>P108</t>
        </is>
      </c>
      <c r="C108" s="35" t="inlineStr">
        <is>
          <t>PAPER BOAT APPLE</t>
        </is>
      </c>
      <c r="D108" s="5" t="inlineStr">
        <is>
          <t>-</t>
        </is>
      </c>
      <c r="E108" s="4" t="n">
        <v>20</v>
      </c>
      <c r="F108" t="inlineStr">
        <is>
          <t>-</t>
        </is>
      </c>
      <c r="G108" t="inlineStr">
        <is>
          <t>-</t>
        </is>
      </c>
      <c r="H108" s="20" t="n">
        <v>0.05</v>
      </c>
      <c r="I108" s="20" t="n"/>
      <c r="J108" s="37" t="n"/>
    </row>
    <row r="109">
      <c r="A109" s="43" t="n"/>
      <c r="B109" s="38" t="inlineStr">
        <is>
          <t>P109</t>
        </is>
      </c>
      <c r="C109" s="35" t="inlineStr">
        <is>
          <t>PAPER BOAT ORANGE</t>
        </is>
      </c>
      <c r="D109" s="5" t="inlineStr">
        <is>
          <t>-</t>
        </is>
      </c>
      <c r="E109" s="4" t="n">
        <v>20</v>
      </c>
      <c r="F109" t="inlineStr">
        <is>
          <t>-</t>
        </is>
      </c>
      <c r="G109" t="inlineStr">
        <is>
          <t>-</t>
        </is>
      </c>
      <c r="H109" s="20" t="n">
        <v>0.05</v>
      </c>
      <c r="I109" s="20" t="n"/>
      <c r="J109" s="37" t="n"/>
    </row>
    <row r="110">
      <c r="A110" s="43" t="n"/>
      <c r="B110" s="38" t="inlineStr">
        <is>
          <t>P110</t>
        </is>
      </c>
      <c r="C110" s="35" t="inlineStr">
        <is>
          <t>PAPER BOAT CHILLI GUVA</t>
        </is>
      </c>
      <c r="D110" s="5" t="inlineStr">
        <is>
          <t>-</t>
        </is>
      </c>
      <c r="E110" s="4" t="n">
        <v>20</v>
      </c>
      <c r="F110" t="inlineStr">
        <is>
          <t>-</t>
        </is>
      </c>
      <c r="G110" t="inlineStr">
        <is>
          <t>-</t>
        </is>
      </c>
      <c r="H110" s="20" t="n">
        <v>0.05</v>
      </c>
      <c r="I110" s="20" t="n"/>
      <c r="J110" s="37" t="n"/>
    </row>
    <row r="111">
      <c r="A111" s="43" t="n"/>
      <c r="B111" s="38" t="inlineStr">
        <is>
          <t>P111</t>
        </is>
      </c>
      <c r="C111" s="35" t="inlineStr">
        <is>
          <t>PAPER BOAT MIXED FRUIT</t>
        </is>
      </c>
      <c r="D111" s="5" t="inlineStr">
        <is>
          <t>-</t>
        </is>
      </c>
      <c r="E111" s="4" t="n">
        <v>20</v>
      </c>
      <c r="F111" t="inlineStr">
        <is>
          <t>-</t>
        </is>
      </c>
      <c r="G111" t="inlineStr">
        <is>
          <t>-</t>
        </is>
      </c>
      <c r="H111" s="20" t="n">
        <v>0.05</v>
      </c>
      <c r="I111" s="20" t="n"/>
      <c r="J111" s="37" t="n"/>
    </row>
    <row r="112">
      <c r="A112" s="43" t="n"/>
      <c r="B112" s="38" t="inlineStr">
        <is>
          <t>P112</t>
        </is>
      </c>
      <c r="C112" s="35" t="inlineStr">
        <is>
          <t>PAPER BOAT MANGO</t>
        </is>
      </c>
      <c r="D112" s="5" t="inlineStr">
        <is>
          <t>-</t>
        </is>
      </c>
      <c r="E112" s="4" t="n">
        <v>25</v>
      </c>
      <c r="F112" t="inlineStr">
        <is>
          <t>-</t>
        </is>
      </c>
      <c r="G112" t="inlineStr">
        <is>
          <t>-</t>
        </is>
      </c>
      <c r="H112" s="20" t="n">
        <v>0.05</v>
      </c>
      <c r="I112" s="20" t="n"/>
      <c r="J112" s="37" t="n"/>
    </row>
    <row r="113">
      <c r="A113" s="43" t="n"/>
      <c r="B113" s="38" t="inlineStr">
        <is>
          <t>P113</t>
        </is>
      </c>
      <c r="C113" s="35" t="inlineStr">
        <is>
          <t>PAPER BOAT LYCHEE</t>
        </is>
      </c>
      <c r="D113" s="5" t="inlineStr">
        <is>
          <t>-</t>
        </is>
      </c>
      <c r="E113" s="4" t="n">
        <v>20</v>
      </c>
      <c r="F113" t="inlineStr">
        <is>
          <t>-</t>
        </is>
      </c>
      <c r="G113" t="inlineStr">
        <is>
          <t>-</t>
        </is>
      </c>
      <c r="H113" s="20" t="n">
        <v>0.05</v>
      </c>
      <c r="I113" s="20" t="n"/>
      <c r="J113" s="37" t="n"/>
    </row>
    <row r="114">
      <c r="A114" s="43" t="n"/>
      <c r="B114" s="38" t="inlineStr">
        <is>
          <t>P114</t>
        </is>
      </c>
      <c r="C114" s="35" t="inlineStr">
        <is>
          <t>REAL JUICE MIXED FRUIT</t>
        </is>
      </c>
      <c r="D114" s="5" t="inlineStr">
        <is>
          <t>-</t>
        </is>
      </c>
      <c r="E114" s="4" t="n">
        <v>30</v>
      </c>
      <c r="F114" t="inlineStr">
        <is>
          <t>-</t>
        </is>
      </c>
      <c r="G114" t="inlineStr">
        <is>
          <t>-</t>
        </is>
      </c>
      <c r="H114" s="20" t="n">
        <v>0.05</v>
      </c>
      <c r="I114" s="20" t="n"/>
      <c r="J114" s="37" t="n"/>
    </row>
    <row r="115">
      <c r="A115" s="43" t="n"/>
      <c r="B115" s="38" t="inlineStr">
        <is>
          <t>P115</t>
        </is>
      </c>
      <c r="C115" s="35" t="inlineStr">
        <is>
          <t>PARLE SMOODH LAASI</t>
        </is>
      </c>
      <c r="D115" s="5" t="inlineStr">
        <is>
          <t>-</t>
        </is>
      </c>
      <c r="E115" s="4" t="n">
        <v>20</v>
      </c>
      <c r="F115" t="inlineStr">
        <is>
          <t>-</t>
        </is>
      </c>
      <c r="G115" t="inlineStr">
        <is>
          <t>-</t>
        </is>
      </c>
      <c r="H115" s="20" t="n">
        <v>0.05</v>
      </c>
      <c r="I115" s="20" t="n"/>
      <c r="J115" s="37" t="n"/>
    </row>
    <row r="116">
      <c r="A116" s="43" t="n"/>
      <c r="B116" s="38" t="inlineStr">
        <is>
          <t>P116</t>
        </is>
      </c>
      <c r="C116" s="35" t="inlineStr">
        <is>
          <t>PARLE SMOODH TOFFEE CARAMEL</t>
        </is>
      </c>
      <c r="D116" s="5" t="inlineStr">
        <is>
          <t>-</t>
        </is>
      </c>
      <c r="E116" s="4" t="n">
        <v>20</v>
      </c>
      <c r="F116" t="inlineStr">
        <is>
          <t>-</t>
        </is>
      </c>
      <c r="G116" t="inlineStr">
        <is>
          <t>-</t>
        </is>
      </c>
      <c r="H116" s="20" t="n">
        <v>0.05</v>
      </c>
      <c r="I116" s="20" t="n"/>
      <c r="J116" s="37" t="n"/>
    </row>
    <row r="117">
      <c r="A117" s="43" t="n"/>
      <c r="B117" s="38" t="inlineStr">
        <is>
          <t>P117</t>
        </is>
      </c>
      <c r="C117" s="35" t="inlineStr">
        <is>
          <t>PARLE SMOODH CHOCOLATE</t>
        </is>
      </c>
      <c r="D117" s="5" t="inlineStr">
        <is>
          <t>-</t>
        </is>
      </c>
      <c r="E117" s="4" t="n">
        <v>20</v>
      </c>
      <c r="F117" t="inlineStr">
        <is>
          <t>-</t>
        </is>
      </c>
      <c r="G117" t="inlineStr">
        <is>
          <t>-</t>
        </is>
      </c>
      <c r="H117" s="20" t="n">
        <v>0.05</v>
      </c>
      <c r="I117" s="20" t="n"/>
      <c r="J117" s="37" t="n"/>
    </row>
    <row r="118">
      <c r="A118" s="26" t="n"/>
      <c r="B118" s="38" t="inlineStr">
        <is>
          <t>P118</t>
        </is>
      </c>
      <c r="C118" s="35" t="inlineStr">
        <is>
          <t>PARLE FROOTI</t>
        </is>
      </c>
      <c r="D118" s="5" t="inlineStr">
        <is>
          <t>-</t>
        </is>
      </c>
      <c r="E118" s="4" t="n">
        <v>30</v>
      </c>
      <c r="F118" t="inlineStr">
        <is>
          <t>-</t>
        </is>
      </c>
      <c r="G118" t="inlineStr">
        <is>
          <t>-</t>
        </is>
      </c>
      <c r="H118" s="20" t="n">
        <v>0.05</v>
      </c>
      <c r="I118" s="20" t="n"/>
      <c r="J118" s="37" t="n"/>
    </row>
    <row r="119">
      <c r="A119" s="42" t="inlineStr">
        <is>
          <t>BISCUITS</t>
        </is>
      </c>
      <c r="B119" s="38" t="inlineStr">
        <is>
          <t>P119</t>
        </is>
      </c>
      <c r="C119" s="35" t="inlineStr">
        <is>
          <t>PARLE HIDE AND SEEK</t>
        </is>
      </c>
      <c r="D119" s="5" t="inlineStr">
        <is>
          <t>-</t>
        </is>
      </c>
      <c r="E119" s="4" t="n">
        <v>30</v>
      </c>
      <c r="F119" t="inlineStr">
        <is>
          <t>-</t>
        </is>
      </c>
      <c r="G119" t="inlineStr">
        <is>
          <t>-</t>
        </is>
      </c>
      <c r="H119" s="20" t="n">
        <v>0.05</v>
      </c>
      <c r="I119" s="20" t="n"/>
      <c r="J119" s="37" t="n"/>
    </row>
    <row r="120">
      <c r="A120" s="43" t="n"/>
      <c r="B120" s="38" t="inlineStr">
        <is>
          <t>P120</t>
        </is>
      </c>
      <c r="C120" s="35" t="inlineStr">
        <is>
          <t>BRITANNIA LITTLE HEART</t>
        </is>
      </c>
      <c r="D120" s="5" t="inlineStr">
        <is>
          <t>-</t>
        </is>
      </c>
      <c r="E120" s="4" t="n">
        <v>30</v>
      </c>
      <c r="F120" t="inlineStr">
        <is>
          <t>-</t>
        </is>
      </c>
      <c r="G120" t="inlineStr">
        <is>
          <t>-</t>
        </is>
      </c>
      <c r="H120" s="20" t="n">
        <v>0.05</v>
      </c>
      <c r="I120" s="20" t="n"/>
      <c r="J120" s="37" t="n"/>
    </row>
    <row r="121">
      <c r="A121" s="43" t="n"/>
      <c r="B121" s="38" t="inlineStr">
        <is>
          <t>P121</t>
        </is>
      </c>
      <c r="C121" s="35" t="inlineStr">
        <is>
          <t>NABATI WAFER PINK LAVA</t>
        </is>
      </c>
      <c r="D121" s="5" t="inlineStr">
        <is>
          <t>-</t>
        </is>
      </c>
      <c r="E121" s="4" t="n">
        <v>20</v>
      </c>
      <c r="F121" t="inlineStr">
        <is>
          <t>-</t>
        </is>
      </c>
      <c r="G121" t="inlineStr">
        <is>
          <t>-</t>
        </is>
      </c>
      <c r="H121" s="20" t="n">
        <v>0.05</v>
      </c>
      <c r="I121" s="20" t="n"/>
      <c r="J121" s="37" t="n"/>
    </row>
    <row r="122">
      <c r="A122" s="43" t="n"/>
      <c r="B122" s="38" t="inlineStr">
        <is>
          <t>P122</t>
        </is>
      </c>
      <c r="C122" s="35" t="inlineStr">
        <is>
          <t>NABATI WAFER RICHESSE</t>
        </is>
      </c>
      <c r="D122" s="5" t="inlineStr">
        <is>
          <t>-</t>
        </is>
      </c>
      <c r="E122" s="4" t="n">
        <v>20</v>
      </c>
      <c r="F122" t="inlineStr">
        <is>
          <t>-</t>
        </is>
      </c>
      <c r="G122" t="inlineStr">
        <is>
          <t>-</t>
        </is>
      </c>
      <c r="H122" s="20" t="n">
        <v>0.05</v>
      </c>
      <c r="I122" s="20" t="n"/>
      <c r="J122" s="37" t="n"/>
    </row>
    <row r="123">
      <c r="A123" s="43" t="n"/>
      <c r="B123" s="38" t="inlineStr">
        <is>
          <t>P123</t>
        </is>
      </c>
      <c r="C123" s="35" t="inlineStr">
        <is>
          <t>ELITE CHOCO COOKIES</t>
        </is>
      </c>
      <c r="D123" s="5" t="inlineStr">
        <is>
          <t>-</t>
        </is>
      </c>
      <c r="E123" s="4" t="n">
        <v>25</v>
      </c>
      <c r="F123" t="inlineStr">
        <is>
          <t>-</t>
        </is>
      </c>
      <c r="G123" t="inlineStr">
        <is>
          <t>-</t>
        </is>
      </c>
      <c r="H123" s="20" t="n">
        <v>0.05</v>
      </c>
      <c r="I123" s="20" t="n"/>
      <c r="J123" s="37" t="n"/>
    </row>
    <row r="124">
      <c r="A124" s="43" t="n"/>
      <c r="B124" s="38" t="inlineStr">
        <is>
          <t>P124</t>
        </is>
      </c>
      <c r="C124" s="35" t="inlineStr">
        <is>
          <t>DARK FANTASY BOURBON</t>
        </is>
      </c>
      <c r="D124" s="19" t="n">
        <v>18</v>
      </c>
      <c r="E124" s="4" t="n">
        <v>30</v>
      </c>
      <c r="F124" t="inlineStr">
        <is>
          <t>94g</t>
        </is>
      </c>
      <c r="G124" t="n">
        <v>60</v>
      </c>
      <c r="H124" s="20" t="n">
        <v>0.05</v>
      </c>
      <c r="I124" s="20" t="n"/>
      <c r="J124" s="37" t="n"/>
    </row>
    <row r="125">
      <c r="A125" s="43" t="n"/>
      <c r="B125" s="38" t="inlineStr">
        <is>
          <t>P125</t>
        </is>
      </c>
      <c r="C125" s="35" t="inlineStr">
        <is>
          <t>MOM'S MAGIC CASHEW</t>
        </is>
      </c>
      <c r="D125" s="19" t="n">
        <v>18</v>
      </c>
      <c r="E125" s="4" t="n">
        <v>30</v>
      </c>
      <c r="F125" t="inlineStr">
        <is>
          <t>94g</t>
        </is>
      </c>
      <c r="G125" t="n">
        <v>72</v>
      </c>
      <c r="H125" s="20" t="n">
        <v>0.05</v>
      </c>
      <c r="I125" s="20" t="n"/>
      <c r="J125" s="37" t="n"/>
    </row>
    <row r="126">
      <c r="A126" s="43" t="n"/>
      <c r="B126" s="38" t="inlineStr">
        <is>
          <t>P126</t>
        </is>
      </c>
      <c r="C126" s="35" t="inlineStr">
        <is>
          <t>BRITANNIA JIM JAM</t>
        </is>
      </c>
      <c r="D126" s="19" t="inlineStr">
        <is>
          <t>-</t>
        </is>
      </c>
      <c r="E126" s="4" t="n">
        <v>25</v>
      </c>
      <c r="G126" t="inlineStr">
        <is>
          <t>-</t>
        </is>
      </c>
      <c r="H126" s="20" t="n">
        <v>0.05</v>
      </c>
      <c r="I126" s="20" t="n"/>
      <c r="J126" s="37" t="n"/>
    </row>
    <row r="127">
      <c r="A127" s="43" t="n"/>
      <c r="B127" s="38" t="inlineStr">
        <is>
          <t>P127</t>
        </is>
      </c>
      <c r="C127" s="35" t="inlineStr">
        <is>
          <t>DARK FANTACY CHOCOLATE</t>
        </is>
      </c>
      <c r="D127" s="19" t="inlineStr">
        <is>
          <t>-</t>
        </is>
      </c>
      <c r="E127" s="4" t="n">
        <v>35</v>
      </c>
      <c r="F127" t="inlineStr">
        <is>
          <t>75g</t>
        </is>
      </c>
      <c r="G127" t="inlineStr">
        <is>
          <t>-</t>
        </is>
      </c>
      <c r="H127" s="20" t="n">
        <v>0.05</v>
      </c>
      <c r="I127" s="20" t="n"/>
      <c r="J127" s="37" t="n"/>
    </row>
    <row r="128">
      <c r="A128" s="26" t="n"/>
      <c r="B128" s="38" t="inlineStr">
        <is>
          <t>P128</t>
        </is>
      </c>
      <c r="C128" s="35" t="inlineStr">
        <is>
          <t>DARK FANTACY VANILLA</t>
        </is>
      </c>
      <c r="D128" s="19" t="inlineStr">
        <is>
          <t>-</t>
        </is>
      </c>
      <c r="E128" s="4" t="n">
        <v>35</v>
      </c>
      <c r="F128" t="inlineStr">
        <is>
          <t>75g</t>
        </is>
      </c>
      <c r="G128" t="inlineStr">
        <is>
          <t>-</t>
        </is>
      </c>
      <c r="H128" s="20" t="n">
        <v>0.05</v>
      </c>
      <c r="I128" s="20" t="n"/>
      <c r="J128" s="37" t="n"/>
    </row>
    <row r="129">
      <c r="A129" s="39" t="inlineStr">
        <is>
          <t>SWEETS</t>
        </is>
      </c>
      <c r="B129" s="38" t="inlineStr">
        <is>
          <t>P129</t>
        </is>
      </c>
      <c r="C129" s="35" t="inlineStr">
        <is>
          <t>BRITANNIA TREAT CROISSANT MIXED FRUIT</t>
        </is>
      </c>
      <c r="D129" s="19" t="inlineStr">
        <is>
          <t>-</t>
        </is>
      </c>
      <c r="E129" s="4" t="n">
        <v>20</v>
      </c>
      <c r="F129" t="inlineStr">
        <is>
          <t>-</t>
        </is>
      </c>
      <c r="G129" t="inlineStr">
        <is>
          <t>-</t>
        </is>
      </c>
      <c r="H129" s="20" t="n">
        <v>0.05</v>
      </c>
      <c r="I129" s="20" t="n"/>
      <c r="J129" s="37" t="n"/>
    </row>
    <row r="130">
      <c r="A130" s="43" t="n"/>
      <c r="B130" s="38" t="inlineStr">
        <is>
          <t>P130</t>
        </is>
      </c>
      <c r="C130" s="35" t="inlineStr">
        <is>
          <t>BRITANNIA TRAT CROISSANT VANILLA</t>
        </is>
      </c>
      <c r="D130" s="19" t="inlineStr">
        <is>
          <t>-</t>
        </is>
      </c>
      <c r="E130" s="4" t="n">
        <v>20</v>
      </c>
      <c r="F130" t="inlineStr">
        <is>
          <t>-</t>
        </is>
      </c>
      <c r="G130" t="inlineStr">
        <is>
          <t>-</t>
        </is>
      </c>
      <c r="H130" s="20" t="n">
        <v>0.05</v>
      </c>
      <c r="I130" s="20" t="n"/>
      <c r="J130" s="37" t="n"/>
    </row>
    <row r="131">
      <c r="A131" s="43" t="n"/>
      <c r="B131" s="38" t="inlineStr">
        <is>
          <t>P131</t>
        </is>
      </c>
      <c r="C131" s="35" t="inlineStr">
        <is>
          <t>BRIRANNIA TREA CROISSANT CHOCO CREME</t>
        </is>
      </c>
      <c r="D131" s="19" t="inlineStr">
        <is>
          <t>-</t>
        </is>
      </c>
      <c r="E131" s="4" t="n">
        <v>20</v>
      </c>
      <c r="F131" t="inlineStr">
        <is>
          <t>-</t>
        </is>
      </c>
      <c r="G131" t="inlineStr">
        <is>
          <t>-</t>
        </is>
      </c>
      <c r="H131" s="20" t="n">
        <v>0.05</v>
      </c>
      <c r="I131" s="20" t="n"/>
      <c r="J131" s="37" t="n"/>
    </row>
    <row r="132">
      <c r="A132" s="43" t="n"/>
      <c r="B132" s="38" t="inlineStr">
        <is>
          <t>P132</t>
        </is>
      </c>
      <c r="C132" s="35" t="inlineStr">
        <is>
          <t>BAULI MOONFILLS STRAWBERRY</t>
        </is>
      </c>
      <c r="D132" s="19" t="inlineStr">
        <is>
          <t>-</t>
        </is>
      </c>
      <c r="E132" s="4" t="n">
        <v>25</v>
      </c>
      <c r="F132" t="inlineStr">
        <is>
          <t>-</t>
        </is>
      </c>
      <c r="G132" t="inlineStr">
        <is>
          <t>-</t>
        </is>
      </c>
      <c r="H132" s="20" t="n">
        <v>0.05</v>
      </c>
      <c r="I132" s="20" t="n"/>
      <c r="J132" s="37" t="n"/>
    </row>
    <row r="133">
      <c r="A133" s="43" t="n"/>
      <c r="B133" s="38" t="inlineStr">
        <is>
          <t>P133</t>
        </is>
      </c>
      <c r="C133" s="35" t="inlineStr">
        <is>
          <t>ELITE BROWINE</t>
        </is>
      </c>
      <c r="D133" s="19" t="inlineStr">
        <is>
          <t>-</t>
        </is>
      </c>
      <c r="E133" s="4" t="n">
        <v>20</v>
      </c>
      <c r="F133" t="inlineStr">
        <is>
          <t>-</t>
        </is>
      </c>
      <c r="G133" t="inlineStr">
        <is>
          <t>-</t>
        </is>
      </c>
      <c r="H133" s="20" t="n">
        <v>0.05</v>
      </c>
      <c r="I133" s="20" t="n"/>
      <c r="J133" s="37" t="n"/>
    </row>
    <row r="134">
      <c r="A134" s="43" t="n"/>
      <c r="B134" s="38" t="inlineStr">
        <is>
          <t>P134</t>
        </is>
      </c>
      <c r="C134" s="35" t="inlineStr">
        <is>
          <t>BAULI MOONFILLS CHOCO</t>
        </is>
      </c>
      <c r="D134" s="19" t="inlineStr">
        <is>
          <t>-</t>
        </is>
      </c>
      <c r="E134" s="4" t="n">
        <v>25</v>
      </c>
      <c r="F134" t="inlineStr">
        <is>
          <t>-</t>
        </is>
      </c>
      <c r="G134" t="inlineStr">
        <is>
          <t>-</t>
        </is>
      </c>
      <c r="H134" s="20" t="n">
        <v>0.05</v>
      </c>
      <c r="I134" s="20" t="n"/>
      <c r="J134" s="37" t="n"/>
    </row>
    <row r="135">
      <c r="A135" s="43" t="n"/>
      <c r="B135" s="38" t="inlineStr">
        <is>
          <t>P135</t>
        </is>
      </c>
      <c r="C135" s="35" t="inlineStr">
        <is>
          <t>BRITANNIA TREAT TRIPLE CHOCOLATE</t>
        </is>
      </c>
      <c r="D135" s="19" t="inlineStr">
        <is>
          <t>-</t>
        </is>
      </c>
      <c r="E135" s="4" t="n">
        <v>30</v>
      </c>
      <c r="F135" t="inlineStr">
        <is>
          <t>-</t>
        </is>
      </c>
      <c r="G135" t="inlineStr">
        <is>
          <t>-</t>
        </is>
      </c>
      <c r="H135" s="20" t="n">
        <v>0.05</v>
      </c>
      <c r="I135" s="20" t="n"/>
      <c r="J135" s="37" t="n"/>
    </row>
    <row r="136">
      <c r="A136" s="43" t="n"/>
      <c r="B136" s="38" t="inlineStr">
        <is>
          <t>P136</t>
        </is>
      </c>
      <c r="C136" s="35" t="inlineStr">
        <is>
          <t>BAULI MOONFILL VANILLA</t>
        </is>
      </c>
      <c r="D136" s="19" t="inlineStr">
        <is>
          <t>-</t>
        </is>
      </c>
      <c r="E136" s="4" t="n">
        <v>25</v>
      </c>
      <c r="F136" t="inlineStr">
        <is>
          <t>-</t>
        </is>
      </c>
      <c r="G136" t="inlineStr">
        <is>
          <t>-</t>
        </is>
      </c>
      <c r="H136" s="20" t="n">
        <v>0.05</v>
      </c>
      <c r="I136" s="20" t="n"/>
      <c r="J136" s="37" t="n"/>
    </row>
    <row r="137">
      <c r="A137" s="43" t="n"/>
      <c r="B137" s="38" t="inlineStr">
        <is>
          <t>P137</t>
        </is>
      </c>
      <c r="C137" s="35" t="inlineStr">
        <is>
          <t>RAAJALI FILLED MUFFIN BANANA</t>
        </is>
      </c>
      <c r="D137" s="19" t="inlineStr">
        <is>
          <t>-</t>
        </is>
      </c>
      <c r="E137" s="4" t="n">
        <v>20</v>
      </c>
      <c r="F137" t="inlineStr">
        <is>
          <t>-</t>
        </is>
      </c>
      <c r="G137" t="inlineStr">
        <is>
          <t>-</t>
        </is>
      </c>
      <c r="H137" s="20" t="n">
        <v>0.05</v>
      </c>
      <c r="I137" s="20" t="n"/>
      <c r="J137" s="37" t="n"/>
    </row>
    <row r="138">
      <c r="A138" s="43" t="n"/>
      <c r="B138" s="38" t="inlineStr">
        <is>
          <t>P138</t>
        </is>
      </c>
      <c r="C138" s="35" t="inlineStr">
        <is>
          <t>RAAJALI FILLED MUFFIN STRAWBERRY</t>
        </is>
      </c>
      <c r="D138" s="19" t="inlineStr">
        <is>
          <t>-</t>
        </is>
      </c>
      <c r="E138" s="4" t="n">
        <v>20</v>
      </c>
      <c r="F138" t="inlineStr">
        <is>
          <t>-</t>
        </is>
      </c>
      <c r="G138" t="inlineStr">
        <is>
          <t>-</t>
        </is>
      </c>
      <c r="H138" s="20" t="n">
        <v>0.05</v>
      </c>
      <c r="I138" s="20" t="n"/>
      <c r="J138" s="37" t="n"/>
    </row>
    <row r="139">
      <c r="A139" s="43" t="n"/>
      <c r="B139" s="38" t="inlineStr">
        <is>
          <t>P139</t>
        </is>
      </c>
      <c r="C139" s="35" t="inlineStr">
        <is>
          <t>RAAJALI FILLED MUFFIN VANILLA</t>
        </is>
      </c>
      <c r="D139" s="19" t="inlineStr">
        <is>
          <t>-</t>
        </is>
      </c>
      <c r="E139" s="4" t="n">
        <v>20</v>
      </c>
      <c r="F139" t="inlineStr">
        <is>
          <t>-</t>
        </is>
      </c>
      <c r="G139" t="inlineStr">
        <is>
          <t>-</t>
        </is>
      </c>
      <c r="H139" s="20" t="n">
        <v>0.05</v>
      </c>
      <c r="I139" s="20" t="n"/>
      <c r="J139" s="37" t="n"/>
    </row>
    <row r="140">
      <c r="A140" s="43" t="n"/>
      <c r="B140" s="38" t="inlineStr">
        <is>
          <t>P140</t>
        </is>
      </c>
      <c r="C140" s="35" t="inlineStr">
        <is>
          <t>GAIA SPORT GRAOLA BAR CHOCOLATE</t>
        </is>
      </c>
      <c r="D140" s="19" t="inlineStr">
        <is>
          <t>-</t>
        </is>
      </c>
      <c r="E140" s="4" t="n">
        <v>30</v>
      </c>
      <c r="F140" t="inlineStr">
        <is>
          <t>-</t>
        </is>
      </c>
      <c r="G140" t="inlineStr">
        <is>
          <t>-</t>
        </is>
      </c>
      <c r="H140" s="20" t="n">
        <v>0.18</v>
      </c>
      <c r="I140" s="20" t="n"/>
      <c r="J140" s="37" t="n"/>
    </row>
    <row r="141">
      <c r="A141" s="43" t="n"/>
      <c r="B141" s="38" t="inlineStr">
        <is>
          <t>P141</t>
        </is>
      </c>
      <c r="C141" s="35" t="inlineStr">
        <is>
          <t>DAIRY MILK FRUIT AND NUT</t>
        </is>
      </c>
      <c r="D141" s="19" t="inlineStr">
        <is>
          <t>-</t>
        </is>
      </c>
      <c r="E141" s="4" t="n">
        <v>50</v>
      </c>
      <c r="F141" t="inlineStr">
        <is>
          <t>-</t>
        </is>
      </c>
      <c r="G141" t="inlineStr">
        <is>
          <t>-</t>
        </is>
      </c>
      <c r="H141" s="20" t="n">
        <v>0.18</v>
      </c>
      <c r="I141" s="20" t="n"/>
      <c r="J141" s="37" t="n"/>
    </row>
    <row r="142">
      <c r="A142" s="43" t="n"/>
      <c r="B142" s="38" t="inlineStr">
        <is>
          <t>P142</t>
        </is>
      </c>
      <c r="C142" s="35" t="inlineStr">
        <is>
          <t>KITKAT</t>
        </is>
      </c>
      <c r="D142" s="19" t="inlineStr">
        <is>
          <t>-</t>
        </is>
      </c>
      <c r="E142" s="4" t="n">
        <v>25</v>
      </c>
      <c r="F142" t="inlineStr">
        <is>
          <t>-</t>
        </is>
      </c>
      <c r="G142" t="inlineStr">
        <is>
          <t>-</t>
        </is>
      </c>
      <c r="H142" s="20" t="n">
        <v>0.18</v>
      </c>
      <c r="I142" s="20" t="n"/>
      <c r="J142" s="37" t="n"/>
    </row>
  </sheetData>
  <mergeCells count="4">
    <mergeCell ref="A129:A142"/>
    <mergeCell ref="A2:A47"/>
    <mergeCell ref="A48:A118"/>
    <mergeCell ref="A119:A1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L117"/>
  <sheetViews>
    <sheetView tabSelected="1" workbookViewId="0">
      <selection activeCell="A1" sqref="A1"/>
    </sheetView>
  </sheetViews>
  <sheetFormatPr baseColWidth="8" defaultRowHeight="15" customHeight="1"/>
  <cols>
    <col width="15.109375" customWidth="1" min="1" max="1"/>
    <col width="24.33203125" customWidth="1" min="2" max="3"/>
    <col width="25.33203125" customWidth="1" min="4" max="4"/>
    <col width="44" customWidth="1" min="5" max="5"/>
    <col width="32.5546875" customWidth="1" min="6" max="6"/>
    <col width="24.6640625" customWidth="1" min="7" max="7"/>
    <col width="22.5546875" customWidth="1" min="8" max="8"/>
    <col width="27" customWidth="1" min="9" max="9"/>
  </cols>
  <sheetData>
    <row r="2" ht="33.6" customHeight="1">
      <c r="A2" s="9" t="n"/>
      <c r="B2" s="9" t="inlineStr">
        <is>
          <t xml:space="preserve">                                                                                                                                 VENDORS LIST </t>
        </is>
      </c>
      <c r="C2" s="9" t="n"/>
      <c r="D2" s="9" t="n"/>
      <c r="E2" s="10" t="n"/>
      <c r="F2" s="11" t="n"/>
      <c r="G2" s="11" t="n"/>
      <c r="H2" s="10" t="n"/>
      <c r="I2" s="10" t="n"/>
      <c r="J2" s="10" t="n"/>
      <c r="K2" s="10" t="n"/>
      <c r="L2" s="10" t="n"/>
    </row>
    <row r="4" ht="15.6" customHeight="1">
      <c r="A4" s="12" t="inlineStr">
        <is>
          <t>VENDOR ID</t>
        </is>
      </c>
      <c r="B4" s="12" t="inlineStr">
        <is>
          <t xml:space="preserve">VENDOR </t>
        </is>
      </c>
      <c r="C4" s="12" t="inlineStr">
        <is>
          <t xml:space="preserve">Product ID </t>
        </is>
      </c>
      <c r="D4" s="13" t="inlineStr">
        <is>
          <t xml:space="preserve">PRODUCT NAME </t>
        </is>
      </c>
      <c r="E4" s="13" t="inlineStr">
        <is>
          <t xml:space="preserve">FLAVORS </t>
        </is>
      </c>
      <c r="F4" s="13" t="inlineStr">
        <is>
          <t>ADDRESS</t>
        </is>
      </c>
      <c r="G4" s="13" t="inlineStr">
        <is>
          <t>MOBILE NUMBER (1*)</t>
        </is>
      </c>
      <c r="H4" s="13" t="inlineStr">
        <is>
          <t>SECONDARY NUMBER</t>
        </is>
      </c>
      <c r="I4" s="13" t="inlineStr">
        <is>
          <t>E-Mail ID</t>
        </is>
      </c>
    </row>
    <row r="6" ht="14.4" customHeight="1">
      <c r="A6" t="inlineStr">
        <is>
          <t>ARA01</t>
        </is>
      </c>
      <c r="B6" s="14" t="inlineStr">
        <is>
          <t>ARA Traders</t>
        </is>
      </c>
      <c r="C6" s="14" t="n"/>
      <c r="D6" s="15" t="inlineStr">
        <is>
          <t>DORITOS</t>
        </is>
      </c>
      <c r="E6" t="inlineStr">
        <is>
          <t>PVR BUTTER POPCORN</t>
        </is>
      </c>
      <c r="F6" t="inlineStr">
        <is>
          <t xml:space="preserve"> NO 7/1,EAST ARASAMARAM STREET</t>
        </is>
      </c>
      <c r="G6" t="n">
        <v>9444380132</v>
      </c>
      <c r="H6" t="inlineStr">
        <is>
          <t>-</t>
        </is>
      </c>
    </row>
    <row r="7" ht="14.4" customHeight="1">
      <c r="E7" t="inlineStr">
        <is>
          <t>DORITOD NACHOS SWEET CHILLI</t>
        </is>
      </c>
      <c r="F7" s="16" t="inlineStr">
        <is>
          <t>,AMINJIKARAI, CHENNAI.600029</t>
        </is>
      </c>
    </row>
    <row r="8" ht="14.4" customHeight="1">
      <c r="E8" t="inlineStr">
        <is>
          <t>DORITOS NACHOS CHEESE</t>
        </is>
      </c>
      <c r="F8" s="16" t="n"/>
    </row>
    <row r="9" ht="14.4" customHeight="1">
      <c r="D9" s="15" t="inlineStr">
        <is>
          <t>KURKURE</t>
        </is>
      </c>
      <c r="E9" t="inlineStr">
        <is>
          <t>KURKURE SCHEZWAN CHUTNEY</t>
        </is>
      </c>
    </row>
    <row r="10" ht="14.4" customHeight="1">
      <c r="E10" t="inlineStr">
        <is>
          <t>KURKURE PUFFCORN</t>
        </is>
      </c>
    </row>
    <row r="11" ht="14.4" customHeight="1">
      <c r="E11" t="inlineStr">
        <is>
          <t>KURKURE CHILLI CHITAKA</t>
        </is>
      </c>
    </row>
    <row r="12" ht="14.4" customHeight="1">
      <c r="E12" t="inlineStr">
        <is>
          <t>KURKURE GREEN CHILLI</t>
        </is>
      </c>
    </row>
    <row r="13" ht="14.4" customHeight="1">
      <c r="E13" t="inlineStr">
        <is>
          <t>KURKURE NAUGHTY TOMATO</t>
        </is>
      </c>
    </row>
    <row r="14" ht="14.4" customHeight="1">
      <c r="E14" t="inlineStr">
        <is>
          <t>KURKURE GREEN CHUTNEY</t>
        </is>
      </c>
      <c r="G14" s="16" t="n"/>
    </row>
    <row r="15" ht="14.4" customHeight="1">
      <c r="E15" t="inlineStr">
        <is>
          <t>KURKURE MUNCH MASALA</t>
        </is>
      </c>
      <c r="G15" s="16" t="n"/>
    </row>
    <row r="16" ht="14.4" customHeight="1">
      <c r="D16" s="15" t="inlineStr">
        <is>
          <t>LAYS</t>
        </is>
      </c>
      <c r="E16" t="inlineStr">
        <is>
          <t>LAYS CLASSIC SALT</t>
        </is>
      </c>
    </row>
    <row r="17" ht="14.4" customHeight="1">
      <c r="E17" t="inlineStr">
        <is>
          <t>LAYS MAGIC MASALA</t>
        </is>
      </c>
    </row>
    <row r="18" ht="14.4" customHeight="1">
      <c r="E18" t="inlineStr">
        <is>
          <t>LAYS AMERICAN STYLE CREAM ONION</t>
        </is>
      </c>
    </row>
    <row r="19" ht="14.4" customHeight="1">
      <c r="E19" t="inlineStr">
        <is>
          <t>LAYS SPANISH TOMATO TANGY</t>
        </is>
      </c>
    </row>
    <row r="20" ht="14.4" customHeight="1">
      <c r="E20" t="inlineStr">
        <is>
          <t>LAYS HOT N SWEET CHILLI</t>
        </is>
      </c>
    </row>
    <row r="21" ht="14.4" customHeight="1">
      <c r="E21" t="inlineStr">
        <is>
          <t>LAYS WAFER RED CHILLI</t>
        </is>
      </c>
      <c r="F21" s="16" t="n"/>
    </row>
    <row r="22" ht="14.4" customHeight="1">
      <c r="E22" t="inlineStr">
        <is>
          <t>LAYS SIZZLIN HOT</t>
        </is>
      </c>
    </row>
    <row r="24" ht="14.4" customHeight="1">
      <c r="A24" t="inlineStr">
        <is>
          <t>AIAZ02</t>
        </is>
      </c>
      <c r="B24" s="14" t="inlineStr">
        <is>
          <t>Al-AZIZ traders</t>
        </is>
      </c>
      <c r="C24" s="14" t="n"/>
      <c r="D24" s="15" t="inlineStr">
        <is>
          <t>Cool Drinks</t>
        </is>
      </c>
      <c r="E24" t="inlineStr">
        <is>
          <t>DIET COKE</t>
        </is>
      </c>
      <c r="F24" t="inlineStr">
        <is>
          <t xml:space="preserve">NO.64/54, SOWRI STREET, </t>
        </is>
      </c>
      <c r="G24" t="n">
        <v>9884161499</v>
      </c>
    </row>
    <row r="25" ht="14.4" customHeight="1">
      <c r="E25" t="inlineStr">
        <is>
          <t>COKE TIN ZERO SUGAR</t>
        </is>
      </c>
      <c r="F25" s="16" t="inlineStr">
        <is>
          <t>ALANDUR, CHENNAI - 600016</t>
        </is>
      </c>
    </row>
    <row r="26" ht="14.4" customHeight="1">
      <c r="E26" t="inlineStr">
        <is>
          <t>COKE TIN</t>
        </is>
      </c>
      <c r="F26" s="16" t="n"/>
    </row>
    <row r="27" ht="14.4" customHeight="1">
      <c r="E27" t="inlineStr">
        <is>
          <t>COKE</t>
        </is>
      </c>
    </row>
    <row r="28" ht="14.4" customHeight="1">
      <c r="E28" t="inlineStr">
        <is>
          <t>THUMBS UP TIN</t>
        </is>
      </c>
    </row>
    <row r="29" ht="14.4" customHeight="1">
      <c r="E29" t="inlineStr">
        <is>
          <t>THUMBS (300ml)</t>
        </is>
      </c>
      <c r="G29" s="16" t="n"/>
    </row>
    <row r="30" ht="14.4" customHeight="1">
      <c r="E30" t="inlineStr">
        <is>
          <t>MAAZA PET BOTTLE</t>
        </is>
      </c>
    </row>
    <row r="31" ht="14.4" customHeight="1">
      <c r="E31" t="inlineStr">
        <is>
          <t>MM PULPY ORANGE</t>
        </is>
      </c>
    </row>
    <row r="32" ht="14.4" customHeight="1">
      <c r="E32" t="inlineStr">
        <is>
          <t>FANTA</t>
        </is>
      </c>
    </row>
    <row r="33" ht="14.4" customHeight="1">
      <c r="E33" t="inlineStr">
        <is>
          <t>MM PULPY ORANGE</t>
        </is>
      </c>
    </row>
    <row r="34" ht="14.4" customHeight="1">
      <c r="E34" t="inlineStr">
        <is>
          <t>FANTA</t>
        </is>
      </c>
    </row>
    <row r="35" ht="14.4" customHeight="1">
      <c r="E35" t="inlineStr">
        <is>
          <t>7UP TIN</t>
        </is>
      </c>
    </row>
    <row r="36" ht="14.4" customHeight="1">
      <c r="E36" t="inlineStr">
        <is>
          <t>SPRITE TIN</t>
        </is>
      </c>
    </row>
    <row r="37" ht="14.4" customHeight="1">
      <c r="E37" t="inlineStr">
        <is>
          <t>SPRITE</t>
        </is>
      </c>
    </row>
    <row r="38" ht="14.4" customHeight="1"/>
    <row r="39" ht="14.4" customHeight="1"/>
    <row r="40" ht="14.4" customHeight="1">
      <c r="D40" s="15" t="inlineStr">
        <is>
          <t>Ruby</t>
        </is>
      </c>
      <c r="E40" t="inlineStr">
        <is>
          <t>RUBY PISTA MILK</t>
        </is>
      </c>
    </row>
    <row r="41" ht="14.4" customHeight="1">
      <c r="E41" t="inlineStr">
        <is>
          <t>RUBY BADAM MILK</t>
        </is>
      </c>
    </row>
    <row r="42" ht="14.4" customHeight="1">
      <c r="E42" t="inlineStr">
        <is>
          <t>RUBY ROSE MILK</t>
        </is>
      </c>
    </row>
    <row r="44" ht="14.4" customHeight="1">
      <c r="A44" t="inlineStr">
        <is>
          <t>A103</t>
        </is>
      </c>
      <c r="B44" s="14" t="inlineStr">
        <is>
          <t>A1 Agengy</t>
        </is>
      </c>
      <c r="C44" s="14" t="n"/>
      <c r="D44" s="15" t="inlineStr">
        <is>
          <t>Bingo</t>
        </is>
      </c>
      <c r="E44" t="inlineStr">
        <is>
          <t>BINGO NACHOS CHEESE</t>
        </is>
      </c>
      <c r="F44" t="inlineStr">
        <is>
          <t xml:space="preserve">NO-60 BKP BALAKRISHNAPURAM </t>
        </is>
      </c>
      <c r="G44" t="n">
        <v>9884161499</v>
      </c>
      <c r="I44" t="inlineStr">
        <is>
          <t>a1agency2023@gmail.com</t>
        </is>
      </c>
    </row>
    <row r="45" ht="14.4" customHeight="1">
      <c r="E45" t="inlineStr">
        <is>
          <t>BINGO ORGINAL STYLE PINK SALT</t>
        </is>
      </c>
      <c r="F45" s="16" t="inlineStr">
        <is>
          <t>6TH STREET,ADAMBAKKAM,</t>
        </is>
      </c>
    </row>
    <row r="46" ht="14.4" customHeight="1">
      <c r="E46" t="inlineStr">
        <is>
          <t>BINGO MM MASALA</t>
        </is>
      </c>
      <c r="F46" s="16" t="inlineStr">
        <is>
          <t>CHENNAI-600088.</t>
        </is>
      </c>
    </row>
    <row r="47" ht="14.4" customHeight="1">
      <c r="E47" t="inlineStr">
        <is>
          <t>BINGO MAD ANGLES PERI PERI</t>
        </is>
      </c>
    </row>
    <row r="48" ht="14.4" customHeight="1">
      <c r="E48" t="inlineStr">
        <is>
          <t>BINGO MASTI CHILLI</t>
        </is>
      </c>
    </row>
    <row r="49" ht="14.4" customHeight="1">
      <c r="E49" t="inlineStr">
        <is>
          <t>BINGO TEDHE MEDHE</t>
        </is>
      </c>
    </row>
    <row r="50" ht="14.4" customHeight="1">
      <c r="E50" t="inlineStr">
        <is>
          <t>BINGO NACHOS CHILLI</t>
        </is>
      </c>
    </row>
    <row r="51" ht="14.4" customHeight="1">
      <c r="E51" t="inlineStr">
        <is>
          <t>BINGO MAD ANGLES TOMATO</t>
        </is>
      </c>
    </row>
    <row r="52" ht="14.4" customHeight="1">
      <c r="E52" t="inlineStr">
        <is>
          <t>BINGO MAD ANGLE MASALA ACHARI</t>
        </is>
      </c>
    </row>
    <row r="53" ht="14.4" customHeight="1">
      <c r="E53" t="inlineStr">
        <is>
          <t>BINGO CREAM &amp; ONION</t>
        </is>
      </c>
    </row>
    <row r="54" ht="14.4" customHeight="1">
      <c r="E54" t="inlineStr">
        <is>
          <t>BINGO TOMATO POTATO CHIPS</t>
        </is>
      </c>
    </row>
    <row r="55" ht="14.4" customHeight="1">
      <c r="E55" t="inlineStr">
        <is>
          <t>BINGO CLASSIC SALT</t>
        </is>
      </c>
    </row>
    <row r="56" ht="14.4" customHeight="1">
      <c r="E56" t="inlineStr">
        <is>
          <t>DARK FANTASY BOURBON</t>
        </is>
      </c>
    </row>
    <row r="57" ht="14.4" customHeight="1">
      <c r="E57" t="inlineStr">
        <is>
          <t>MOM'S MAGIC CASHEW</t>
        </is>
      </c>
    </row>
    <row r="59" ht="14.4" customHeight="1">
      <c r="A59" t="inlineStr">
        <is>
          <t>SRI04</t>
        </is>
      </c>
      <c r="B59" s="14" t="inlineStr">
        <is>
          <t>SRI Traders</t>
        </is>
      </c>
      <c r="C59" s="14" t="n"/>
      <c r="D59" s="15" t="inlineStr">
        <is>
          <t xml:space="preserve">Too Yumm </t>
        </is>
      </c>
      <c r="E59" t="inlineStr">
        <is>
          <t>TOO YUMM SALTED</t>
        </is>
      </c>
      <c r="F59" t="inlineStr">
        <is>
          <t>No30, 1st FLOOR, HARILOK COMPLEX</t>
        </is>
      </c>
      <c r="G59" t="n">
        <v>9283110400</v>
      </c>
      <c r="H59" t="inlineStr">
        <is>
          <t>-</t>
        </is>
      </c>
    </row>
    <row r="60" ht="14.4" customHeight="1">
      <c r="E60" t="inlineStr">
        <is>
          <t>TOO YUMM KARARE CHILLI ACHARI</t>
        </is>
      </c>
      <c r="F60" t="inlineStr">
        <is>
          <t>CHATRAPATHI SIVAJI STREET,</t>
        </is>
      </c>
    </row>
    <row r="61" ht="14.4" customHeight="1">
      <c r="E61" t="inlineStr">
        <is>
          <t>TOO YUMM CHILI CHATAKA</t>
        </is>
      </c>
      <c r="F61" t="inlineStr">
        <is>
          <t>SHANMUGA NAGAR, CHITLAPAKKAM</t>
        </is>
      </c>
    </row>
    <row r="62" ht="14.4" customHeight="1">
      <c r="E62" t="inlineStr">
        <is>
          <t>TOO YUMM WAFER SPICY CHILLI</t>
        </is>
      </c>
      <c r="F62" t="inlineStr">
        <is>
          <t>CHENNAI-600064</t>
        </is>
      </c>
    </row>
    <row r="63" ht="14.4" customHeight="1">
      <c r="E63" t="inlineStr">
        <is>
          <t>TOO YUMM POTATO SPANISH TOMATO</t>
        </is>
      </c>
    </row>
    <row r="64" ht="14.4" customHeight="1">
      <c r="E64" t="inlineStr">
        <is>
          <t>TOO YUMM AMERICAN STYLE CREAM ONION</t>
        </is>
      </c>
    </row>
    <row r="65" ht="14.4" customHeight="1">
      <c r="E65" t="inlineStr">
        <is>
          <t>TOO YUMM BHOOT KARARE</t>
        </is>
      </c>
    </row>
    <row r="66" ht="14.4" customHeight="1">
      <c r="E66" t="inlineStr">
        <is>
          <t>TOO YUMM KARARE NOODLES MASALA</t>
        </is>
      </c>
    </row>
    <row r="67" ht="14.4" customHeight="1">
      <c r="E67" t="inlineStr">
        <is>
          <t>TOO YUMM KARARE TWISTIES</t>
        </is>
      </c>
    </row>
    <row r="68" ht="14.4" customHeight="1">
      <c r="E68" t="inlineStr">
        <is>
          <t>TOO YUMM KARARE MUNCH MASALA</t>
        </is>
      </c>
    </row>
    <row r="69" ht="14.4" customHeight="1">
      <c r="E69" t="inlineStr">
        <is>
          <t>TOO YUMM KASHMIRI CHILLI</t>
        </is>
      </c>
    </row>
    <row r="70" ht="14.4" customHeight="1">
      <c r="E70" t="inlineStr">
        <is>
          <t>TOO YUMM INDIAN MASALA</t>
        </is>
      </c>
    </row>
    <row r="71" ht="14.4" customHeight="1">
      <c r="E71" t="inlineStr">
        <is>
          <t>TOO YUMM NAGIN</t>
        </is>
      </c>
    </row>
    <row r="72" ht="14.4" customHeight="1">
      <c r="E72" t="inlineStr">
        <is>
          <t>TOO YUMM SOUR CREAM</t>
        </is>
      </c>
    </row>
    <row r="74" ht="14.4" customHeight="1">
      <c r="A74" t="inlineStr">
        <is>
          <t>D05</t>
        </is>
      </c>
      <c r="B74" s="14" t="inlineStr">
        <is>
          <t>DivyaLakshmi Traders</t>
        </is>
      </c>
      <c r="C74" s="14" t="n"/>
      <c r="D74" s="15" t="inlineStr">
        <is>
          <t>Cream Bell</t>
        </is>
      </c>
      <c r="E74" t="inlineStr">
        <is>
          <t>CREAM BELL ROSE MILK</t>
        </is>
      </c>
      <c r="F74" t="inlineStr">
        <is>
          <t xml:space="preserve">No-135, PART- A, ist MAIN ROAD </t>
        </is>
      </c>
      <c r="G74" t="n">
        <v>9841122155</v>
      </c>
      <c r="H74" t="n">
        <v>8610495179</v>
      </c>
    </row>
    <row r="75" ht="14.4" customHeight="1">
      <c r="E75" t="inlineStr">
        <is>
          <t>CREAM BELL BADAM MILKSHAKE</t>
        </is>
      </c>
      <c r="F75" t="inlineStr">
        <is>
          <t>SOUTH JAGANATHAN NAGAR</t>
        </is>
      </c>
    </row>
    <row r="76" ht="14.4" customHeight="1">
      <c r="E76" t="inlineStr">
        <is>
          <t>CREAM BELL VANNILA</t>
        </is>
      </c>
      <c r="F76" t="inlineStr">
        <is>
          <t>VILLIWAKKAM,CHENNAI-600049</t>
        </is>
      </c>
    </row>
    <row r="77" ht="14.4" customHeight="1">
      <c r="E77" t="inlineStr">
        <is>
          <t>CREAM BELL COFFEE</t>
        </is>
      </c>
    </row>
    <row r="78" ht="14.4" customHeight="1">
      <c r="E78" t="inlineStr">
        <is>
          <t>CREAM BELL CHOCO</t>
        </is>
      </c>
    </row>
    <row r="79" ht="14.4" customHeight="1">
      <c r="E79" t="inlineStr">
        <is>
          <t>CREAM BELL BUTTER SCOTCH</t>
        </is>
      </c>
    </row>
    <row r="80" ht="14.4" customHeight="1">
      <c r="E80" t="inlineStr">
        <is>
          <t>PEPSI TIN</t>
        </is>
      </c>
    </row>
    <row r="81" ht="14.4" customHeight="1">
      <c r="E81" t="inlineStr">
        <is>
          <t>PEPSI ZERO SUGAR TIN</t>
        </is>
      </c>
    </row>
    <row r="83" ht="14.4" customHeight="1">
      <c r="A83" t="inlineStr">
        <is>
          <t>SVT06</t>
        </is>
      </c>
      <c r="B83" s="14" t="inlineStr">
        <is>
          <t>Sithi Vinayagar Traders</t>
        </is>
      </c>
      <c r="C83" s="14" t="n"/>
      <c r="D83" s="15" t="inlineStr">
        <is>
          <t>Tropicana</t>
        </is>
      </c>
      <c r="E83" t="inlineStr">
        <is>
          <t>TROPICANA MIXED FRUIT</t>
        </is>
      </c>
      <c r="F83" t="inlineStr">
        <is>
          <t xml:space="preserve">No-135 PART B 1ST MAIN ROAD </t>
        </is>
      </c>
      <c r="G83" t="n">
        <v>9841122155</v>
      </c>
      <c r="H83" t="n">
        <v>8610495179</v>
      </c>
    </row>
    <row r="84" ht="14.4" customHeight="1">
      <c r="E84" t="inlineStr">
        <is>
          <t>TROPICANA APPLE</t>
        </is>
      </c>
      <c r="F84" t="inlineStr">
        <is>
          <t xml:space="preserve">SOUTH JAGANNATH NAGAR, VILLIVAKAM </t>
        </is>
      </c>
    </row>
    <row r="85" ht="14.4" customHeight="1">
      <c r="E85" t="inlineStr">
        <is>
          <t>TROPICANA SLICE</t>
        </is>
      </c>
      <c r="F85" t="inlineStr">
        <is>
          <t>CHENNAI-49</t>
        </is>
      </c>
    </row>
    <row r="86" ht="14.4" customHeight="1">
      <c r="E86" t="inlineStr">
        <is>
          <t>TROPICANA ORANGE</t>
        </is>
      </c>
    </row>
    <row r="87" ht="14.4" customHeight="1">
      <c r="E87" t="inlineStr">
        <is>
          <t>TROPICANA POMEGRANATE</t>
        </is>
      </c>
    </row>
    <row r="88" ht="14.4" customHeight="1">
      <c r="E88" t="inlineStr">
        <is>
          <t>TROPICANA GUVA</t>
        </is>
      </c>
    </row>
    <row r="89" ht="14.4" customHeight="1">
      <c r="E89" t="inlineStr">
        <is>
          <t>TROPICANA LITCHI DELIGHT</t>
        </is>
      </c>
    </row>
    <row r="90" ht="14.4" customHeight="1">
      <c r="E90" t="inlineStr">
        <is>
          <t>LIPTON ICE TEA</t>
        </is>
      </c>
    </row>
    <row r="91" ht="14.4" customHeight="1">
      <c r="E91" t="inlineStr">
        <is>
          <t xml:space="preserve">Black Pepsi </t>
        </is>
      </c>
    </row>
    <row r="92" ht="14.4" customHeight="1">
      <c r="E92" t="inlineStr">
        <is>
          <t>Mountain dew</t>
        </is>
      </c>
    </row>
    <row r="93" ht="14.4" customHeight="1"/>
    <row r="94" ht="14.4" customHeight="1"/>
    <row r="96" ht="14.4" customHeight="1">
      <c r="A96" t="inlineStr">
        <is>
          <t>AA07</t>
        </is>
      </c>
      <c r="B96" s="14" t="inlineStr">
        <is>
          <t>Amma Agency</t>
        </is>
      </c>
      <c r="C96" s="14" t="n"/>
      <c r="D96" s="15" t="inlineStr">
        <is>
          <t>Hershey's</t>
        </is>
      </c>
      <c r="E96" t="inlineStr">
        <is>
          <t>HERSHEY’S BUTTERSCOTCH MILKSHAKE</t>
        </is>
      </c>
      <c r="F96" t="inlineStr">
        <is>
          <t xml:space="preserve">NO:353 EVK SAMBATHI ROAD, </t>
        </is>
      </c>
      <c r="G96" t="n">
        <v>9444387479</v>
      </c>
    </row>
    <row r="97" ht="14.4" customHeight="1">
      <c r="E97" t="inlineStr">
        <is>
          <t>HERSHEY’S VANILLA MILKSHAKE</t>
        </is>
      </c>
      <c r="F97" t="inlineStr">
        <is>
          <t>MOHANRAM NAGAR</t>
        </is>
      </c>
    </row>
    <row r="98" ht="14.4" customHeight="1">
      <c r="E98" t="inlineStr">
        <is>
          <t>HERSHEY'S COOKIES AND CREAM</t>
        </is>
      </c>
      <c r="F98" t="inlineStr">
        <is>
          <t>MOGAPAIR EAST, CHENNAI-37</t>
        </is>
      </c>
    </row>
    <row r="99" ht="14.4" customHeight="1">
      <c r="E99" t="inlineStr">
        <is>
          <t>HERSHEY'S ALMOND FLAVOR</t>
        </is>
      </c>
    </row>
    <row r="100" ht="14.4" customHeight="1">
      <c r="E100" t="inlineStr">
        <is>
          <t>HERSHEY'S CHOCOLATE FLAVOR</t>
        </is>
      </c>
    </row>
    <row r="101" ht="14.4" customHeight="1">
      <c r="E101" t="inlineStr">
        <is>
          <t>HERSHEY'S COFFEE MOCHA FLAVOR</t>
        </is>
      </c>
    </row>
    <row r="102" ht="14.4" customHeight="1">
      <c r="E102" t="inlineStr">
        <is>
          <t>HERSHEY'S STRAWBERRY FLAVOR</t>
        </is>
      </c>
    </row>
    <row r="103" ht="14.4" customHeight="1">
      <c r="D103" s="15" t="inlineStr">
        <is>
          <t>Softi</t>
        </is>
      </c>
      <c r="E103" t="inlineStr">
        <is>
          <t>SOFIT SOYA CHOCOLATE FLAVOR</t>
        </is>
      </c>
    </row>
    <row r="104" ht="14.4" customHeight="1">
      <c r="D104" s="22" t="inlineStr">
        <is>
          <t>CAVINS</t>
        </is>
      </c>
      <c r="E104" t="inlineStr">
        <is>
          <t>CAVINS BUTTERSCOTCH</t>
        </is>
      </c>
    </row>
    <row r="105" ht="14.4" customHeight="1">
      <c r="E105" t="inlineStr">
        <is>
          <t>CAVINS CHOCOLATE</t>
        </is>
      </c>
    </row>
    <row r="106" ht="14.4" customHeight="1">
      <c r="E106" t="inlineStr">
        <is>
          <t>CAVINS PREMIUM MALT MILKSHAKE</t>
        </is>
      </c>
    </row>
    <row r="107" ht="14.4" customHeight="1">
      <c r="E107" t="inlineStr">
        <is>
          <t>CAVINS ORANGE</t>
        </is>
      </c>
    </row>
    <row r="108" ht="14.4" customHeight="1">
      <c r="E108" t="inlineStr">
        <is>
          <t>CAVINS BELGIAN CHOCOLATE</t>
        </is>
      </c>
    </row>
    <row r="109" ht="14.4" customHeight="1">
      <c r="E109" t="inlineStr">
        <is>
          <t>CAVINS COLD COFFEE</t>
        </is>
      </c>
    </row>
    <row r="110" ht="14.4" customHeight="1">
      <c r="E110" t="inlineStr">
        <is>
          <t>CAVINS STRAWBERRY</t>
        </is>
      </c>
    </row>
    <row r="111" ht="14.4" customHeight="1">
      <c r="E111" t="inlineStr">
        <is>
          <t>CAVINS VANILLA</t>
        </is>
      </c>
    </row>
    <row r="113" ht="14.4" customHeight="1">
      <c r="A113" t="inlineStr">
        <is>
          <t>SM08</t>
        </is>
      </c>
      <c r="B113" s="14" t="inlineStr">
        <is>
          <t>Shree Markting</t>
        </is>
      </c>
      <c r="C113" s="14" t="n"/>
      <c r="D113" s="15" t="inlineStr">
        <is>
          <t>Ocean Drink</t>
        </is>
      </c>
      <c r="E113" t="inlineStr">
        <is>
          <t>OCEAN DRINK APPLE</t>
        </is>
      </c>
      <c r="F113" t="inlineStr">
        <is>
          <t xml:space="preserve">NO:24-B EAST SEEYALAM STREET, </t>
        </is>
      </c>
      <c r="G113" s="17" t="inlineStr">
        <is>
          <t>044-26171574</t>
        </is>
      </c>
      <c r="H113" t="n">
        <v>9841092481</v>
      </c>
    </row>
    <row r="114" ht="14.4" customHeight="1">
      <c r="E114" t="inlineStr">
        <is>
          <t>OCEAN DRINK GREEN APPLE</t>
        </is>
      </c>
      <c r="F114" t="inlineStr">
        <is>
          <t>VILLIVAKAM CHENNAI-49</t>
        </is>
      </c>
    </row>
    <row r="115" ht="14.4" customHeight="1">
      <c r="E115" t="inlineStr">
        <is>
          <t>OCEAN DRINK PEACH &amp; PASSION</t>
        </is>
      </c>
    </row>
    <row r="116" ht="14.4" customHeight="1">
      <c r="E116" t="inlineStr">
        <is>
          <t>OCEAN DRINK MANGO &amp; PASSION</t>
        </is>
      </c>
    </row>
    <row r="117" ht="14.4" customHeight="1">
      <c r="E117" t="inlineStr">
        <is>
          <t>OCEAN PINK GUVA</t>
        </is>
      </c>
    </row>
    <row r="118" ht="14.4" customHeight="1"/>
    <row r="119" ht="14.4" customHeight="1"/>
  </sheetData>
  <autoFilter ref="A2:A1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6" sqref="C6"/>
    </sheetView>
  </sheetViews>
  <sheetFormatPr baseColWidth="8" defaultRowHeight="14.4"/>
  <cols>
    <col width="14" customWidth="1" min="1" max="1"/>
    <col width="14.44140625" customWidth="1" min="2" max="2"/>
    <col width="9.109375" customWidth="1" min="3" max="3"/>
  </cols>
  <sheetData>
    <row r="1" ht="17.4" customHeight="1">
      <c r="A1" s="7" t="inlineStr">
        <is>
          <t>Machine_ID</t>
        </is>
      </c>
      <c r="B1" s="7" t="inlineStr">
        <is>
          <t>Location</t>
        </is>
      </c>
      <c r="C1" s="7" t="inlineStr">
        <is>
          <t>Status</t>
        </is>
      </c>
    </row>
    <row r="2">
      <c r="A2" t="inlineStr">
        <is>
          <t>VM001</t>
        </is>
      </c>
      <c r="B2" t="inlineStr">
        <is>
          <t>College Gate</t>
        </is>
      </c>
      <c r="C2" t="inlineStr">
        <is>
          <t>Active</t>
        </is>
      </c>
    </row>
    <row r="3">
      <c r="A3" t="inlineStr">
        <is>
          <t>VM002</t>
        </is>
      </c>
      <c r="B3" t="inlineStr">
        <is>
          <t>Hostel Block</t>
        </is>
      </c>
      <c r="C3" t="inlineStr">
        <is>
          <t>Active</t>
        </is>
      </c>
    </row>
    <row r="4">
      <c r="A4" t="inlineStr">
        <is>
          <t>VM003</t>
        </is>
      </c>
      <c r="B4" t="inlineStr">
        <is>
          <t>Library</t>
        </is>
      </c>
      <c r="C4" t="inlineStr">
        <is>
          <t>Active</t>
        </is>
      </c>
    </row>
    <row r="5">
      <c r="A5" t="inlineStr">
        <is>
          <t>VM004</t>
        </is>
      </c>
      <c r="B5" t="inlineStr">
        <is>
          <t>Back Gate</t>
        </is>
      </c>
      <c r="C5" t="inlineStr">
        <is>
          <t>Active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4.4"/>
  <cols>
    <col width="10.44140625" customWidth="1" min="1" max="1"/>
    <col width="15.5546875" customWidth="1" min="2" max="2"/>
    <col width="11.6640625" customWidth="1" min="3" max="3"/>
  </cols>
  <sheetData>
    <row r="1">
      <c r="A1" t="inlineStr">
        <is>
          <t>Refiller_ID</t>
        </is>
      </c>
      <c r="B1" t="inlineStr">
        <is>
          <t>Refiller_Name</t>
        </is>
      </c>
      <c r="C1" t="inlineStr">
        <is>
          <t>Phone</t>
        </is>
      </c>
    </row>
    <row r="2">
      <c r="A2" t="inlineStr">
        <is>
          <t>R001</t>
        </is>
      </c>
      <c r="B2" t="inlineStr">
        <is>
          <t>Kumar</t>
        </is>
      </c>
      <c r="C2" t="inlineStr">
        <is>
          <t>9876543210</t>
        </is>
      </c>
    </row>
    <row r="3">
      <c r="A3" t="inlineStr">
        <is>
          <t>R002</t>
        </is>
      </c>
      <c r="B3" t="inlineStr">
        <is>
          <t>Arjun</t>
        </is>
      </c>
      <c r="C3" t="inlineStr">
        <is>
          <t>9123456789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Q11"/>
  <sheetViews>
    <sheetView workbookViewId="0">
      <selection activeCell="H15" sqref="H15"/>
    </sheetView>
  </sheetViews>
  <sheetFormatPr baseColWidth="8" defaultRowHeight="15" customHeight="1"/>
  <cols>
    <col width="11.109375" customWidth="1" min="1" max="1"/>
    <col width="12.6640625" customWidth="1" min="2" max="2"/>
    <col width="12" customWidth="1" min="3" max="4"/>
    <col width="19.5546875" customWidth="1" min="5" max="5"/>
    <col width="38.33203125" customWidth="1" min="10" max="11"/>
    <col width="20.6640625" customWidth="1" min="12" max="14"/>
    <col width="16.6640625" customWidth="1" min="15" max="15"/>
    <col width="13.109375" customWidth="1" min="16" max="16"/>
  </cols>
  <sheetData>
    <row r="1" ht="14.4" customHeight="1">
      <c r="A1" t="inlineStr">
        <is>
          <t>Date</t>
        </is>
      </c>
      <c r="B1" t="inlineStr">
        <is>
          <t>Vendor_ID</t>
        </is>
      </c>
      <c r="C1" s="5" t="inlineStr">
        <is>
          <t>Product_ID</t>
        </is>
      </c>
      <c r="D1" s="5" t="inlineStr">
        <is>
          <t xml:space="preserve">Batch No </t>
        </is>
      </c>
      <c r="E1" s="5" t="inlineStr">
        <is>
          <t>Purchased Date</t>
        </is>
      </c>
      <c r="F1" s="5" t="inlineStr">
        <is>
          <t>Qty</t>
        </is>
      </c>
      <c r="G1" s="5" t="inlineStr">
        <is>
          <t>Actual PO price</t>
        </is>
      </c>
      <c r="H1" s="5" t="inlineStr">
        <is>
          <t>PO_Price</t>
        </is>
      </c>
      <c r="I1" s="32" t="inlineStr">
        <is>
          <t>PO Bill</t>
        </is>
      </c>
      <c r="J1" s="5" t="inlineStr">
        <is>
          <t>GST NO</t>
        </is>
      </c>
      <c r="K1" s="30" t="inlineStr">
        <is>
          <t xml:space="preserve">Payment mode </t>
        </is>
      </c>
      <c r="L1" s="5" t="inlineStr">
        <is>
          <t xml:space="preserve">Payment Status </t>
        </is>
      </c>
      <c r="M1" s="31" t="inlineStr">
        <is>
          <t xml:space="preserve">Amount Paid </t>
        </is>
      </c>
      <c r="N1" s="31" t="inlineStr">
        <is>
          <t xml:space="preserve">Amount Balance </t>
        </is>
      </c>
      <c r="O1" s="31" t="inlineStr">
        <is>
          <t>GST filed Status</t>
        </is>
      </c>
      <c r="P1" t="inlineStr">
        <is>
          <t xml:space="preserve">GST Slab </t>
        </is>
      </c>
    </row>
    <row r="2" ht="14.4" customHeight="1">
      <c r="A2" t="inlineStr">
        <is>
          <t>2026-01-01</t>
        </is>
      </c>
      <c r="B2" t="inlineStr">
        <is>
          <t>ARA01</t>
        </is>
      </c>
      <c r="C2" s="5" t="n"/>
      <c r="D2" s="5" t="n"/>
      <c r="F2" s="5" t="n">
        <v>100</v>
      </c>
      <c r="G2" s="5" t="n"/>
      <c r="H2" s="5" t="n"/>
      <c r="I2" s="32" t="n"/>
      <c r="J2" s="5" t="inlineStr">
        <is>
          <t>33FQBPD79901ZZ</t>
        </is>
      </c>
      <c r="K2" s="30" t="inlineStr">
        <is>
          <t>IMPS</t>
        </is>
      </c>
      <c r="L2" s="5" t="n"/>
      <c r="M2" s="31" t="n"/>
      <c r="N2" s="31" t="n"/>
      <c r="O2" s="34" t="inlineStr">
        <is>
          <t>yes</t>
        </is>
      </c>
      <c r="P2" s="36" t="inlineStr">
        <is>
          <t>None</t>
        </is>
      </c>
      <c r="Q2" s="36" t="n"/>
    </row>
    <row r="3" ht="14.4" customHeight="1">
      <c r="A3" t="inlineStr">
        <is>
          <t>2026-01-05</t>
        </is>
      </c>
      <c r="B3" t="inlineStr">
        <is>
          <t>AIAZ02</t>
        </is>
      </c>
      <c r="C3" s="5" t="n"/>
      <c r="D3" s="5" t="n"/>
      <c r="E3" s="5" t="n"/>
      <c r="F3" s="5" t="n">
        <v>50</v>
      </c>
      <c r="G3" s="5" t="n"/>
      <c r="H3" s="5" t="n"/>
      <c r="I3" s="32" t="n"/>
      <c r="J3" s="5" t="inlineStr">
        <is>
          <t>33AYBPA5104A1ZL</t>
        </is>
      </c>
      <c r="K3" s="30" t="inlineStr">
        <is>
          <t>RTGS</t>
        </is>
      </c>
      <c r="L3" s="5" t="n"/>
      <c r="M3" s="31" t="n"/>
      <c r="N3" s="31" t="n"/>
      <c r="O3" s="34" t="inlineStr">
        <is>
          <t>no</t>
        </is>
      </c>
      <c r="P3" s="36" t="inlineStr">
        <is>
          <t>Exempted</t>
        </is>
      </c>
      <c r="Q3" s="36" t="n"/>
    </row>
    <row r="4" ht="14.4" customHeight="1">
      <c r="A4" t="inlineStr">
        <is>
          <t>2026-01-02</t>
        </is>
      </c>
      <c r="B4" t="inlineStr">
        <is>
          <t>A103</t>
        </is>
      </c>
      <c r="C4" s="5" t="n"/>
      <c r="D4" s="5" t="n"/>
      <c r="E4" s="5" t="n"/>
      <c r="F4" s="5" t="n">
        <v>200</v>
      </c>
      <c r="G4" s="5" t="n"/>
      <c r="H4" s="5" t="n"/>
      <c r="I4" s="32" t="n"/>
      <c r="J4" s="5" t="inlineStr">
        <is>
          <t>33FNQPS7197G1Z4</t>
        </is>
      </c>
      <c r="K4" s="30" t="inlineStr">
        <is>
          <t>NEFT</t>
        </is>
      </c>
      <c r="L4" s="5" t="n"/>
      <c r="M4" s="31" t="n"/>
      <c r="N4" s="31" t="n"/>
      <c r="O4" s="34" t="n"/>
      <c r="P4" s="36" t="inlineStr">
        <is>
          <t>GST@0%</t>
        </is>
      </c>
      <c r="Q4" s="36" t="n"/>
    </row>
    <row r="5" ht="14.4" customHeight="1">
      <c r="A5" t="inlineStr">
        <is>
          <t>2026-01-04</t>
        </is>
      </c>
      <c r="B5" t="inlineStr">
        <is>
          <t>SRI04</t>
        </is>
      </c>
      <c r="C5" s="5" t="n"/>
      <c r="D5" s="5" t="n"/>
      <c r="E5" s="5" t="n"/>
      <c r="F5" s="5" t="n">
        <v>150</v>
      </c>
      <c r="G5" s="5" t="n"/>
      <c r="H5" s="5" t="n"/>
      <c r="I5" s="32" t="n"/>
      <c r="J5" s="5" t="inlineStr">
        <is>
          <t>33APNPG3932K1ZS</t>
        </is>
      </c>
      <c r="K5" s="30" t="inlineStr">
        <is>
          <t>GPAY</t>
        </is>
      </c>
      <c r="L5" s="5" t="n"/>
      <c r="M5" s="31" t="n"/>
      <c r="N5" s="31" t="n"/>
      <c r="O5" s="34" t="n"/>
      <c r="P5" s="36" t="inlineStr">
        <is>
          <t>GST@0.25%</t>
        </is>
      </c>
      <c r="Q5" s="36" t="n"/>
    </row>
    <row r="6" ht="14.4" customHeight="1">
      <c r="A6" t="inlineStr">
        <is>
          <t>2026-01-06</t>
        </is>
      </c>
      <c r="B6" t="inlineStr">
        <is>
          <t>D05</t>
        </is>
      </c>
      <c r="C6" s="5" t="n"/>
      <c r="D6" s="5" t="n"/>
      <c r="E6" s="5" t="n"/>
      <c r="F6" s="5" t="n">
        <v>50</v>
      </c>
      <c r="G6" s="5" t="n"/>
      <c r="H6" s="5" t="n"/>
      <c r="I6" s="32" t="n"/>
      <c r="J6" s="5" t="inlineStr">
        <is>
          <t>33AAWFD5467C1Z9</t>
        </is>
      </c>
      <c r="K6" s="30" t="inlineStr">
        <is>
          <t>PAYTM</t>
        </is>
      </c>
      <c r="L6" s="5" t="n"/>
      <c r="M6" s="31" t="n"/>
      <c r="N6" s="31" t="n"/>
      <c r="O6" s="34" t="n"/>
      <c r="P6" s="36" t="inlineStr">
        <is>
          <t>GST@3%</t>
        </is>
      </c>
      <c r="Q6" s="36" t="n"/>
    </row>
    <row r="7" ht="14.4" customHeight="1">
      <c r="A7" t="inlineStr">
        <is>
          <t>2026-01-06</t>
        </is>
      </c>
      <c r="B7" t="inlineStr">
        <is>
          <t>AA07</t>
        </is>
      </c>
      <c r="C7" s="5" t="n"/>
      <c r="D7" s="5" t="n"/>
      <c r="E7" s="5" t="n"/>
      <c r="F7" s="5" t="n"/>
      <c r="G7" s="5" t="n"/>
      <c r="H7" s="5" t="n"/>
      <c r="I7" s="32" t="n"/>
      <c r="J7" s="5" t="inlineStr">
        <is>
          <t>33A1GPR5884F1ZY</t>
        </is>
      </c>
      <c r="K7" s="30" t="inlineStr">
        <is>
          <t>CASH</t>
        </is>
      </c>
      <c r="L7" s="5" t="n"/>
      <c r="M7" s="31" t="n"/>
      <c r="N7" s="31" t="n"/>
      <c r="O7" s="34" t="n"/>
      <c r="P7" s="36" t="inlineStr">
        <is>
          <t>GST@5%</t>
        </is>
      </c>
      <c r="Q7" s="36" t="n"/>
    </row>
    <row r="8" ht="14.4" customHeight="1">
      <c r="A8" t="inlineStr">
        <is>
          <t>2026-01-06</t>
        </is>
      </c>
      <c r="B8" t="inlineStr">
        <is>
          <t>SM08</t>
        </is>
      </c>
      <c r="C8" s="5" t="n"/>
      <c r="D8" s="5" t="n"/>
      <c r="E8" s="5" t="n"/>
      <c r="F8" s="5" t="n"/>
      <c r="G8" s="5" t="n"/>
      <c r="H8" s="5" t="n"/>
      <c r="I8" s="32" t="n"/>
      <c r="J8" s="5" t="inlineStr">
        <is>
          <t>33AL0PS4454M1ZG</t>
        </is>
      </c>
      <c r="K8" s="5" t="n"/>
      <c r="L8" s="26" t="n"/>
      <c r="M8" s="26" t="n"/>
      <c r="N8" s="26" t="n"/>
      <c r="O8" s="32" t="n"/>
      <c r="P8" s="36" t="inlineStr">
        <is>
          <t>GST@12%</t>
        </is>
      </c>
      <c r="Q8" s="36" t="n"/>
    </row>
    <row r="9" ht="15" customHeight="1">
      <c r="E9" s="5" t="n"/>
      <c r="I9" s="35" t="n"/>
      <c r="P9" s="36" t="inlineStr">
        <is>
          <t>GST@18%</t>
        </is>
      </c>
      <c r="Q9" s="36" t="n"/>
    </row>
    <row r="10" ht="15" customHeight="1">
      <c r="P10" s="36" t="inlineStr">
        <is>
          <t>GST@28%</t>
        </is>
      </c>
      <c r="Q10" s="36" t="n"/>
    </row>
    <row r="11" ht="15" customHeight="1">
      <c r="M11" t="inlineStr">
        <is>
          <t xml:space="preserve">B and M column to be mapped along with GST % value </t>
        </is>
      </c>
      <c r="P11" s="36" t="inlineStr">
        <is>
          <t>GST@40%</t>
        </is>
      </c>
      <c r="Q11" s="3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F2" sqref="F2:F3"/>
    </sheetView>
  </sheetViews>
  <sheetFormatPr baseColWidth="8" defaultRowHeight="14.4"/>
  <cols>
    <col width="10.44140625" customWidth="1" min="1" max="1"/>
    <col width="13.5546875" customWidth="1" min="2" max="2"/>
    <col width="10.6640625" customWidth="1" min="3" max="3"/>
    <col width="11" customWidth="1" min="4" max="4"/>
    <col width="15.6640625" customWidth="1" min="5" max="5"/>
    <col width="16.33203125" customWidth="1" min="6" max="6"/>
    <col width="14.6640625" customWidth="1" min="7" max="7"/>
    <col width="16.88671875" customWidth="1" min="9" max="9"/>
  </cols>
  <sheetData>
    <row r="1">
      <c r="A1" s="18" t="inlineStr">
        <is>
          <t>Product _ID</t>
        </is>
      </c>
      <c r="B1" s="18" t="inlineStr">
        <is>
          <t>Product Name</t>
        </is>
      </c>
      <c r="C1" s="18" t="inlineStr">
        <is>
          <t>EAN  Code</t>
        </is>
      </c>
      <c r="D1" s="18" t="inlineStr">
        <is>
          <t>Batch No</t>
        </is>
      </c>
      <c r="E1" s="18" t="inlineStr">
        <is>
          <t>Purchased Date</t>
        </is>
      </c>
      <c r="F1" s="18" t="inlineStr">
        <is>
          <t>Manufacture Date</t>
        </is>
      </c>
      <c r="G1" s="18" t="inlineStr">
        <is>
          <t>Expiry Date</t>
        </is>
      </c>
      <c r="H1" s="18" t="inlineStr">
        <is>
          <t>Qty</t>
        </is>
      </c>
      <c r="I1" s="18" t="inlineStr">
        <is>
          <t>Machine/Location</t>
        </is>
      </c>
      <c r="J1" s="18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Date</t>
        </is>
      </c>
      <c r="B1" s="44" t="inlineStr">
        <is>
          <t>Refiller_ID</t>
        </is>
      </c>
      <c r="C1" s="44" t="inlineStr">
        <is>
          <t>Machine_ID</t>
        </is>
      </c>
      <c r="D1" s="44" t="inlineStr">
        <is>
          <t>Product_ID</t>
        </is>
      </c>
      <c r="E1" s="44" t="inlineStr">
        <is>
          <t>Cover count</t>
        </is>
      </c>
      <c r="F1" s="44" t="inlineStr">
        <is>
          <t>Qty</t>
        </is>
      </c>
    </row>
    <row r="2">
      <c r="A2" t="inlineStr">
        <is>
          <t>2026-01-07</t>
        </is>
      </c>
      <c r="B2" t="inlineStr">
        <is>
          <t>R001</t>
        </is>
      </c>
      <c r="C2" t="inlineStr">
        <is>
          <t>VM001</t>
        </is>
      </c>
      <c r="D2" t="inlineStr">
        <is>
          <t>P001</t>
        </is>
      </c>
      <c r="E2" t="inlineStr"/>
      <c r="F2" t="n">
        <v>20</v>
      </c>
    </row>
    <row r="3">
      <c r="A3" t="inlineStr">
        <is>
          <t>2026-01-07</t>
        </is>
      </c>
      <c r="B3" t="inlineStr">
        <is>
          <t>R001</t>
        </is>
      </c>
      <c r="C3" t="inlineStr">
        <is>
          <t>VM001</t>
        </is>
      </c>
      <c r="D3" t="inlineStr">
        <is>
          <t>P004</t>
        </is>
      </c>
      <c r="E3" t="inlineStr"/>
      <c r="F3" t="n">
        <v>30</v>
      </c>
    </row>
    <row r="4">
      <c r="A4" t="inlineStr">
        <is>
          <t>2026-01-08</t>
        </is>
      </c>
      <c r="B4" t="inlineStr">
        <is>
          <t>R002</t>
        </is>
      </c>
      <c r="C4" t="inlineStr">
        <is>
          <t>VM002</t>
        </is>
      </c>
      <c r="D4" t="inlineStr">
        <is>
          <t>P007</t>
        </is>
      </c>
      <c r="E4" t="inlineStr"/>
      <c r="F4" t="n">
        <v>25</v>
      </c>
    </row>
    <row r="5">
      <c r="A5" t="inlineStr">
        <is>
          <t>2026-01-08</t>
        </is>
      </c>
      <c r="B5" t="inlineStr">
        <is>
          <t>R002</t>
        </is>
      </c>
      <c r="C5" t="inlineStr">
        <is>
          <t>VM003</t>
        </is>
      </c>
      <c r="D5" t="inlineStr">
        <is>
          <t>P010</t>
        </is>
      </c>
      <c r="E5" t="inlineStr"/>
      <c r="F5" t="n">
        <v>10</v>
      </c>
    </row>
    <row r="6">
      <c r="A6" t="inlineStr">
        <is>
          <t>2026-01-27</t>
        </is>
      </c>
      <c r="B6" t="inlineStr">
        <is>
          <t>R001</t>
        </is>
      </c>
      <c r="C6" t="inlineStr">
        <is>
          <t>VM002</t>
        </is>
      </c>
      <c r="D6" t="inlineStr">
        <is>
          <t>P007</t>
        </is>
      </c>
      <c r="E6" t="inlineStr"/>
      <c r="F6" t="n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C10" sqref="C10"/>
    </sheetView>
  </sheetViews>
  <sheetFormatPr baseColWidth="8" defaultRowHeight="14.4"/>
  <cols>
    <col width="13.5546875" customWidth="1" min="2" max="2"/>
    <col width="20" customWidth="1" min="3" max="3"/>
    <col width="21.6640625" customWidth="1" min="4" max="4"/>
    <col width="12.88671875" customWidth="1" min="6" max="6"/>
  </cols>
  <sheetData>
    <row r="1">
      <c r="A1" t="inlineStr">
        <is>
          <t>Date</t>
        </is>
      </c>
      <c r="B1" t="inlineStr">
        <is>
          <t>Machine_ID</t>
        </is>
      </c>
      <c r="C1" t="inlineStr">
        <is>
          <t>Product_ID</t>
        </is>
      </c>
      <c r="D1" t="inlineStr">
        <is>
          <t xml:space="preserve">Qty Purchased </t>
        </is>
      </c>
      <c r="E1" t="inlineStr">
        <is>
          <t xml:space="preserve">Qty Sold </t>
        </is>
      </c>
      <c r="F1" t="inlineStr">
        <is>
          <t>Selling_Price</t>
        </is>
      </c>
    </row>
    <row r="2">
      <c r="A2" t="inlineStr">
        <is>
          <t>2026-01-07</t>
        </is>
      </c>
      <c r="B2" t="inlineStr">
        <is>
          <t>VM001</t>
        </is>
      </c>
      <c r="C2">
        <f t="array" ref="C2">(Sales_Log!D:D-Sales_Log!E:E)</f>
        <v/>
      </c>
      <c r="D2" t="n">
        <v>10</v>
      </c>
      <c r="E2" s="35" t="n">
        <v>5</v>
      </c>
      <c r="F2" t="n">
        <v>40</v>
      </c>
    </row>
    <row r="3">
      <c r="A3" t="inlineStr">
        <is>
          <t>2026-01-07</t>
        </is>
      </c>
      <c r="B3" t="inlineStr">
        <is>
          <t>VM001</t>
        </is>
      </c>
      <c r="C3" t="inlineStr">
        <is>
          <t>P004</t>
        </is>
      </c>
      <c r="D3" t="n">
        <v>10</v>
      </c>
      <c r="E3" s="35" t="n">
        <v>10</v>
      </c>
      <c r="F3" t="n">
        <v>20</v>
      </c>
    </row>
    <row r="4">
      <c r="A4" t="inlineStr">
        <is>
          <t>2026-01-08</t>
        </is>
      </c>
      <c r="B4" t="inlineStr">
        <is>
          <t>VM002</t>
        </is>
      </c>
      <c r="C4" t="inlineStr">
        <is>
          <t>P007</t>
        </is>
      </c>
      <c r="D4" t="n">
        <v>10</v>
      </c>
      <c r="E4" s="35" t="n">
        <v>6</v>
      </c>
      <c r="F4" t="n">
        <v>30</v>
      </c>
    </row>
    <row r="5">
      <c r="A5" t="inlineStr">
        <is>
          <t>2026-01-08</t>
        </is>
      </c>
      <c r="B5" t="inlineStr">
        <is>
          <t>VM003</t>
        </is>
      </c>
      <c r="C5" t="inlineStr">
        <is>
          <t>P010</t>
        </is>
      </c>
      <c r="D5" t="n">
        <v>10</v>
      </c>
      <c r="E5" s="35" t="n">
        <v>2</v>
      </c>
      <c r="F5" t="n">
        <v>110</v>
      </c>
    </row>
    <row r="10" ht="28.8" customHeight="1">
      <c r="D10" s="36" t="inlineStr">
        <is>
          <t xml:space="preserve">Alert notification - low ,moderate 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Machine_ID</t>
        </is>
      </c>
      <c r="B1" s="44" t="inlineStr">
        <is>
          <t>Product_ID</t>
        </is>
      </c>
      <c r="C1" s="44" t="inlineStr">
        <is>
          <t>Current_Stock</t>
        </is>
      </c>
    </row>
    <row r="2">
      <c r="A2" t="inlineStr">
        <is>
          <t>VM001</t>
        </is>
      </c>
      <c r="B2" t="inlineStr">
        <is>
          <t>P001</t>
        </is>
      </c>
      <c r="C2" t="n">
        <v>20</v>
      </c>
    </row>
    <row r="3">
      <c r="A3" t="inlineStr">
        <is>
          <t>VM001</t>
        </is>
      </c>
      <c r="B3" t="inlineStr">
        <is>
          <t>P004</t>
        </is>
      </c>
      <c r="C3" t="n">
        <v>20</v>
      </c>
    </row>
    <row r="4">
      <c r="A4" t="inlineStr">
        <is>
          <t>VM002</t>
        </is>
      </c>
      <c r="B4" t="inlineStr">
        <is>
          <t>P007</t>
        </is>
      </c>
      <c r="C4" t="n">
        <v>69</v>
      </c>
    </row>
    <row r="5">
      <c r="A5" t="inlineStr">
        <is>
          <t>VM003</t>
        </is>
      </c>
      <c r="B5" t="inlineStr">
        <is>
          <t>P010</t>
        </is>
      </c>
      <c r="C5" t="n">
        <v>8</v>
      </c>
    </row>
    <row r="6">
      <c r="A6" t="inlineStr">
        <is>
          <t>VM001</t>
        </is>
      </c>
      <c r="B6" t="inlineStr">
        <is>
          <t>None</t>
        </is>
      </c>
      <c r="C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2026-01-05T16:55:39Z</dcterms:created>
  <dcterms:modified xmlns:dcterms="http://purl.org/dc/terms/" xmlns:xsi="http://www.w3.org/2001/XMLSchema-instance" xsi:type="dcterms:W3CDTF">2026-01-27T17:05:18Z</dcterms:modified>
  <cp:lastModifiedBy>yuvan sankar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0x01010040D1DB9EB6313846AD6EC2C9DA6E6210</vt:lpwstr>
  </property>
</Properties>
</file>